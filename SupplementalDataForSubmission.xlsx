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mumaryland-my.sharepoint.com/personal/katie_ko_som_umaryland_edu/Documents/authenticator/"/>
    </mc:Choice>
  </mc:AlternateContent>
  <xr:revisionPtr revIDLastSave="0" documentId="8_{F72C3B70-453E-8A43-B63D-C467B7CFDE61}" xr6:coauthVersionLast="47" xr6:coauthVersionMax="47" xr10:uidLastSave="{00000000-0000-0000-0000-000000000000}"/>
  <bookViews>
    <workbookView xWindow="0" yWindow="760" windowWidth="30240" windowHeight="17960" activeTab="2" xr2:uid="{18A562AE-91D0-4849-AED1-E725E0FE1799}"/>
  </bookViews>
  <sheets>
    <sheet name="S1. Original Lab Strains" sheetId="2" r:id="rId1"/>
    <sheet name="S2. Illumina WGS of Lab Strains" sheetId="3" r:id="rId2"/>
    <sheet name="S3. Different Technologies" sheetId="4" r:id="rId3"/>
    <sheet name="S4. Field Samples" sheetId="1" r:id="rId4"/>
    <sheet name="S5. Subsampling" sheetId="5" r:id="rId5"/>
    <sheet name="S6. Other Species" sheetId="8" r:id="rId6"/>
  </sheets>
  <definedNames>
    <definedName name="_xlnm._FilterDatabase" localSheetId="2" hidden="1">'S3. Different Technologies'!$A$1:$AL$53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5" l="1"/>
  <c r="AE4" i="5"/>
  <c r="AE5" i="5"/>
  <c r="AE6" i="5"/>
  <c r="AE7" i="5"/>
  <c r="AE8" i="5"/>
  <c r="AE9" i="5"/>
  <c r="AE10" i="5"/>
  <c r="AE11" i="5"/>
  <c r="AE12" i="5"/>
  <c r="AE2" i="5"/>
  <c r="Z3" i="5"/>
  <c r="Z4" i="5"/>
  <c r="Z5" i="5"/>
  <c r="Z6" i="5"/>
  <c r="Z7" i="5"/>
  <c r="Z8" i="5"/>
  <c r="Z9" i="5"/>
  <c r="Z10" i="5"/>
  <c r="Z11" i="5"/>
  <c r="Z12" i="5"/>
  <c r="Z2" i="5"/>
  <c r="U3" i="5"/>
  <c r="U4" i="5"/>
  <c r="U5" i="5"/>
  <c r="U6" i="5"/>
  <c r="U7" i="5"/>
  <c r="U8" i="5"/>
  <c r="U9" i="5"/>
  <c r="U10" i="5"/>
  <c r="U11" i="5"/>
  <c r="U12" i="5"/>
  <c r="U2" i="5"/>
  <c r="P3" i="5"/>
  <c r="P4" i="5"/>
  <c r="P5" i="5"/>
  <c r="P6" i="5"/>
  <c r="P7" i="5"/>
  <c r="P8" i="5"/>
  <c r="P9" i="5"/>
  <c r="P10" i="5"/>
  <c r="P11" i="5"/>
  <c r="P12" i="5"/>
  <c r="P2" i="5"/>
  <c r="K3" i="5"/>
  <c r="K4" i="5"/>
  <c r="K5" i="5"/>
  <c r="K6" i="5"/>
  <c r="K7" i="5"/>
  <c r="K8" i="5"/>
  <c r="K9" i="5"/>
  <c r="K10" i="5"/>
  <c r="K11" i="5"/>
  <c r="K12" i="5"/>
  <c r="K2" i="5"/>
  <c r="F3" i="5"/>
  <c r="F4" i="5"/>
  <c r="F5" i="5"/>
  <c r="F6" i="5"/>
  <c r="F7" i="5"/>
  <c r="F8" i="5"/>
  <c r="F9" i="5"/>
  <c r="F10" i="5"/>
  <c r="F11" i="5"/>
  <c r="F12" i="5"/>
  <c r="F2" i="5"/>
  <c r="AI3" i="2"/>
  <c r="AI4" i="2"/>
  <c r="AI5" i="2"/>
  <c r="AI6" i="2"/>
  <c r="AI7" i="2"/>
  <c r="AI8" i="2"/>
  <c r="AI2" i="2"/>
  <c r="AD3" i="2"/>
  <c r="AD4" i="2"/>
  <c r="AD5" i="2"/>
  <c r="AD6" i="2"/>
  <c r="AD7" i="2"/>
  <c r="AD8" i="2"/>
  <c r="AD2" i="2"/>
  <c r="Y3" i="2"/>
  <c r="Y4" i="2"/>
  <c r="Y5" i="2"/>
  <c r="Y6" i="2"/>
  <c r="Y7" i="2"/>
  <c r="Y8" i="2"/>
  <c r="Y2" i="2"/>
  <c r="T3" i="2"/>
  <c r="T4" i="2"/>
  <c r="T5" i="2"/>
  <c r="T6" i="2"/>
  <c r="T7" i="2"/>
  <c r="T8" i="2"/>
  <c r="T2" i="2"/>
  <c r="O3" i="2"/>
  <c r="O4" i="2"/>
  <c r="O5" i="2"/>
  <c r="O6" i="2"/>
  <c r="O7" i="2"/>
  <c r="O8" i="2"/>
  <c r="O2" i="2"/>
  <c r="J3" i="2"/>
  <c r="J4" i="2"/>
  <c r="J5" i="2"/>
  <c r="J6" i="2"/>
  <c r="J7" i="2"/>
  <c r="J8" i="2"/>
  <c r="J2" i="2"/>
  <c r="AH9" i="3"/>
  <c r="AH3" i="3"/>
  <c r="AH4" i="3"/>
  <c r="AH5" i="3"/>
  <c r="AH6" i="3"/>
  <c r="AH7" i="3"/>
  <c r="AH8" i="3"/>
  <c r="AH10" i="3"/>
  <c r="AH11" i="3"/>
  <c r="AH2" i="3"/>
  <c r="AG3" i="3"/>
  <c r="AG4" i="3"/>
  <c r="AG5" i="3"/>
  <c r="AG6" i="3"/>
  <c r="AG7" i="3"/>
  <c r="AG8" i="3"/>
  <c r="AG9" i="3"/>
  <c r="AG10" i="3"/>
  <c r="AG11" i="3"/>
  <c r="AG2" i="3"/>
  <c r="AB3" i="3"/>
  <c r="AB4" i="3"/>
  <c r="AB5" i="3"/>
  <c r="AB6" i="3"/>
  <c r="AB7" i="3"/>
  <c r="AB8" i="3"/>
  <c r="AB9" i="3"/>
  <c r="AB10" i="3"/>
  <c r="AB11" i="3"/>
  <c r="AB2" i="3"/>
  <c r="W3" i="3"/>
  <c r="W4" i="3"/>
  <c r="W5" i="3"/>
  <c r="W6" i="3"/>
  <c r="W7" i="3"/>
  <c r="W8" i="3"/>
  <c r="W9" i="3"/>
  <c r="W10" i="3"/>
  <c r="W11" i="3"/>
  <c r="W2" i="3"/>
  <c r="R3" i="3"/>
  <c r="R4" i="3"/>
  <c r="R5" i="3"/>
  <c r="R6" i="3"/>
  <c r="R7" i="3"/>
  <c r="R8" i="3"/>
  <c r="R9" i="3"/>
  <c r="R10" i="3"/>
  <c r="R11" i="3"/>
  <c r="R2" i="3"/>
  <c r="M3" i="3"/>
  <c r="M4" i="3"/>
  <c r="M5" i="3"/>
  <c r="M6" i="3"/>
  <c r="M7" i="3"/>
  <c r="M8" i="3"/>
  <c r="M9" i="3"/>
  <c r="M10" i="3"/>
  <c r="M11" i="3"/>
  <c r="M2" i="3"/>
  <c r="H3" i="3"/>
  <c r="H4" i="3"/>
  <c r="H5" i="3"/>
  <c r="H6" i="3"/>
  <c r="H7" i="3"/>
  <c r="H8" i="3"/>
  <c r="H9" i="3"/>
  <c r="H10" i="3"/>
  <c r="H11" i="3"/>
  <c r="H2" i="3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2" i="4"/>
  <c r="AK2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2" i="4"/>
</calcChain>
</file>

<file path=xl/sharedStrings.xml><?xml version="1.0" encoding="utf-8"?>
<sst xmlns="http://schemas.openxmlformats.org/spreadsheetml/2006/main" count="634" uniqueCount="296">
  <si>
    <t>Sample</t>
  </si>
  <si>
    <t>NF54_3D7 Spec</t>
  </si>
  <si>
    <t>NF54_3D7 Nonspec</t>
  </si>
  <si>
    <t>NF54_3D7 Mixed</t>
  </si>
  <si>
    <t>NF54_3D7 Low Coverage</t>
  </si>
  <si>
    <t>7G8 Spec</t>
  </si>
  <si>
    <t>7G8 Nonspec</t>
  </si>
  <si>
    <t>7G8 Mixed</t>
  </si>
  <si>
    <t>7G8 Low Coverage</t>
  </si>
  <si>
    <t>W2_Dd2 Spec</t>
  </si>
  <si>
    <t>W2_Dd2 Nonspec</t>
  </si>
  <si>
    <t>W2_Dd2 Mixed</t>
  </si>
  <si>
    <t>W2_Dd2 Low Coverage</t>
  </si>
  <si>
    <t>D10 Spec</t>
  </si>
  <si>
    <t>D10 Nonspec</t>
  </si>
  <si>
    <t>D10 Mixed</t>
  </si>
  <si>
    <t>D10 Low Coverage</t>
  </si>
  <si>
    <t>HB3 Spec</t>
  </si>
  <si>
    <t>HB3 Nonspec</t>
  </si>
  <si>
    <t>HB3 Mixed</t>
  </si>
  <si>
    <t>HB3 Low Coverage</t>
  </si>
  <si>
    <t>GB4 Spec</t>
  </si>
  <si>
    <t>GB4 Nonspec</t>
  </si>
  <si>
    <t>GB4 Mixed</t>
  </si>
  <si>
    <t>GB4 Low Coverage</t>
  </si>
  <si>
    <t>PW0006_C_colombia</t>
  </si>
  <si>
    <t>IGS-CBD-016_cambodia</t>
  </si>
  <si>
    <t>PE0027-C_tanzania</t>
  </si>
  <si>
    <t>IGS-MNM-012_myanmar</t>
  </si>
  <si>
    <t>IGS-MWI-034_malawi</t>
  </si>
  <si>
    <t>IGS-MNM-011_myanmar</t>
  </si>
  <si>
    <t>PA0179-C_guinea</t>
  </si>
  <si>
    <t>IGS-MNM-003_myanmar</t>
  </si>
  <si>
    <t>PW0013_C_colombia</t>
  </si>
  <si>
    <t>PK0031-C_burkina_faso</t>
  </si>
  <si>
    <t>PP0011_C_peru</t>
  </si>
  <si>
    <t>IGS-MLI-015_mali</t>
  </si>
  <si>
    <t>PW0008_C_colombia</t>
  </si>
  <si>
    <t>PE0028-C_tanzania</t>
  </si>
  <si>
    <t>IGS-MLI-033_mali</t>
  </si>
  <si>
    <t>PN0023-C_papua_new_guinea</t>
  </si>
  <si>
    <t>IGS-THL-006_thailand</t>
  </si>
  <si>
    <t>IGS-THL-007_thailand</t>
  </si>
  <si>
    <t>IGS-BRA-016_brazil</t>
  </si>
  <si>
    <t>IGS-BRA-007_brazil</t>
  </si>
  <si>
    <t>PP0012_C_peru</t>
  </si>
  <si>
    <t>IGS-BRA-012_brazil</t>
  </si>
  <si>
    <t>IGS-CBD-014_cambodia</t>
  </si>
  <si>
    <t>PC0032_C_kenya</t>
  </si>
  <si>
    <t>IGS-MWI-043_malawi</t>
  </si>
  <si>
    <t>PK0048-C_burkina_faso</t>
  </si>
  <si>
    <t>IGS-THL-005_thailand</t>
  </si>
  <si>
    <t>P154_D31_french_guiana</t>
  </si>
  <si>
    <t>PN0025-C_papua_new_guinea</t>
  </si>
  <si>
    <t>PA0177-C_guinea</t>
  </si>
  <si>
    <t>P170_D35_french_guiana</t>
  </si>
  <si>
    <t>IGS-CBD-015_cambodia</t>
  </si>
  <si>
    <t>PP0013_C_peru</t>
  </si>
  <si>
    <t>IGS-2016-NF166_guinea</t>
  </si>
  <si>
    <t>IGS-MWI-035_malawi</t>
  </si>
  <si>
    <t>PK0018-C_burkina_faso</t>
  </si>
  <si>
    <t>PE0090-C_tanzania</t>
  </si>
  <si>
    <t>PC0030_C_kenya</t>
  </si>
  <si>
    <t>PA0178-C_guinea</t>
  </si>
  <si>
    <t>PN0031-C_papua_new_guinea</t>
  </si>
  <si>
    <t>P161_D33_french_guiana</t>
  </si>
  <si>
    <t>IGS-MLI-014_mali</t>
  </si>
  <si>
    <t>PC0031_C_kenya</t>
  </si>
  <si>
    <t>Accession</t>
  </si>
  <si>
    <t>SRR7464773</t>
  </si>
  <si>
    <t>SRR7464790</t>
  </si>
  <si>
    <t>SRR7464766</t>
  </si>
  <si>
    <t>SRR5346283</t>
  </si>
  <si>
    <t>SRR5360284</t>
  </si>
  <si>
    <t>SRR5346284</t>
  </si>
  <si>
    <t>SRR5360997</t>
  </si>
  <si>
    <t>SRR7456465</t>
  </si>
  <si>
    <t>SRR7456467</t>
  </si>
  <si>
    <t>SRR7456513</t>
  </si>
  <si>
    <t>SRR5346179</t>
  </si>
  <si>
    <t>SRR5346163</t>
  </si>
  <si>
    <t>SRR5346164</t>
  </si>
  <si>
    <t>SRR5346210</t>
  </si>
  <si>
    <t>SRR5346211</t>
  </si>
  <si>
    <t>SRR5346212</t>
  </si>
  <si>
    <t>SRR5346229</t>
  </si>
  <si>
    <t>SRR5346227</t>
  </si>
  <si>
    <t>SRR5346234</t>
  </si>
  <si>
    <t>ERR012302</t>
  </si>
  <si>
    <t>ERR012244</t>
  </si>
  <si>
    <t>ERR012439</t>
  </si>
  <si>
    <t>ERR042230</t>
  </si>
  <si>
    <t>ERR039903</t>
  </si>
  <si>
    <t>ERR042231</t>
  </si>
  <si>
    <t>SRR2099884</t>
  </si>
  <si>
    <t>SRR2099889</t>
  </si>
  <si>
    <t>SRR2104412</t>
  </si>
  <si>
    <t>ERR059384</t>
  </si>
  <si>
    <t>ERR059389</t>
  </si>
  <si>
    <t>ERR059388</t>
  </si>
  <si>
    <t>ERR012762</t>
  </si>
  <si>
    <t>ERR012425</t>
  </si>
  <si>
    <t>ERR012494</t>
  </si>
  <si>
    <t>ERR012691</t>
  </si>
  <si>
    <t>ERR012230</t>
  </si>
  <si>
    <t>ERR175534</t>
  </si>
  <si>
    <t>ERR022855</t>
  </si>
  <si>
    <t>ERR027113</t>
  </si>
  <si>
    <t>ERR123900</t>
  </si>
  <si>
    <t>ERR171646</t>
  </si>
  <si>
    <t>ERR171647</t>
  </si>
  <si>
    <t>ERR439528</t>
  </si>
  <si>
    <t>ERR11683740</t>
  </si>
  <si>
    <t>SRR33251667</t>
  </si>
  <si>
    <t>SRR33251673</t>
  </si>
  <si>
    <t>ERR027100</t>
  </si>
  <si>
    <t>SRR6325170</t>
  </si>
  <si>
    <t>ERR15707893</t>
  </si>
  <si>
    <t>SRR33251670</t>
  </si>
  <si>
    <t>SRR530164</t>
  </si>
  <si>
    <t>SRR23351213</t>
  </si>
  <si>
    <t>SRR1335983</t>
  </si>
  <si>
    <t>ERR1008804</t>
  </si>
  <si>
    <t>SRR5314814</t>
  </si>
  <si>
    <t>SRR3091181</t>
  </si>
  <si>
    <t>ERR1008805</t>
  </si>
  <si>
    <t>SRR3228421</t>
  </si>
  <si>
    <t>ERR16656066</t>
  </si>
  <si>
    <t>SRR13050273</t>
  </si>
  <si>
    <t>SRR11094274</t>
  </si>
  <si>
    <t>SRR3107189</t>
  </si>
  <si>
    <t>SRR9155741</t>
  </si>
  <si>
    <t>SRR9155740</t>
  </si>
  <si>
    <t>SRR9155739</t>
  </si>
  <si>
    <t>SRR9155746</t>
  </si>
  <si>
    <t>SRR9155745</t>
  </si>
  <si>
    <t>SRR9155744</t>
  </si>
  <si>
    <t>SRR9155743</t>
  </si>
  <si>
    <t>SRR9155748</t>
  </si>
  <si>
    <t>SRR9155747</t>
  </si>
  <si>
    <t>SRR9155724</t>
  </si>
  <si>
    <t>SRR9155723</t>
  </si>
  <si>
    <t>SRR9155726</t>
  </si>
  <si>
    <t>SRR9155725</t>
  </si>
  <si>
    <t>SRR9155728</t>
  </si>
  <si>
    <t>SRR9155727</t>
  </si>
  <si>
    <t>SRR9155730</t>
  </si>
  <si>
    <t>SRR9155729</t>
  </si>
  <si>
    <t>SRR9155732</t>
  </si>
  <si>
    <t>SRR9155731</t>
  </si>
  <si>
    <t>SRR9155735</t>
  </si>
  <si>
    <t>SRR9155736</t>
  </si>
  <si>
    <t>SRR9155737</t>
  </si>
  <si>
    <t>SRR9155738</t>
  </si>
  <si>
    <t>SRR9155733</t>
  </si>
  <si>
    <t>SRR9155734</t>
  </si>
  <si>
    <t>ERR3956266</t>
  </si>
  <si>
    <t>SRR9988374</t>
  </si>
  <si>
    <t>DRR344527</t>
  </si>
  <si>
    <t>SRR22042411</t>
  </si>
  <si>
    <t>SRR22042402</t>
  </si>
  <si>
    <t>SRR5114666</t>
  </si>
  <si>
    <t>SRR5114669</t>
  </si>
  <si>
    <t>SRR5114671</t>
  </si>
  <si>
    <t>SRR3107187</t>
  </si>
  <si>
    <t>SRR18490248</t>
  </si>
  <si>
    <t>SRR29696839</t>
  </si>
  <si>
    <t>Bases Sequenced</t>
  </si>
  <si>
    <t>Strain</t>
  </si>
  <si>
    <t>ChIPSeq</t>
  </si>
  <si>
    <t>HB3_WGS_Pacbio_Sanger</t>
  </si>
  <si>
    <t>HB3</t>
  </si>
  <si>
    <t>GB4_WGS_Pacbio_Sanger</t>
  </si>
  <si>
    <t>GB4</t>
  </si>
  <si>
    <t>Dd2_WGS_Pacbio_Sanger</t>
  </si>
  <si>
    <t>Dd2</t>
  </si>
  <si>
    <t>Dd2_RNAseq_JIPMER</t>
  </si>
  <si>
    <t>RNAseq</t>
  </si>
  <si>
    <t>Dd2_ChIPSeq_Llinas_Rep3</t>
  </si>
  <si>
    <t>Dd2_ChIPSeq_Llinas_Rep2</t>
  </si>
  <si>
    <t>Dd2_ChIPSeq_Llinas_Rep1</t>
  </si>
  <si>
    <t>7G8_WGS_Pacbio_UMIGS</t>
  </si>
  <si>
    <t>7G8</t>
  </si>
  <si>
    <t>7G8_WGS_Pacbio_Sanger</t>
  </si>
  <si>
    <t>3D7_WGS_Pacbio_Stanford</t>
  </si>
  <si>
    <t>3D7</t>
  </si>
  <si>
    <t>3D7_WGS_Pacbio_Sanger</t>
  </si>
  <si>
    <t>3D7_WGS_ONT_Stanford</t>
  </si>
  <si>
    <t>3D7_scRNAseq_Karmodiya</t>
  </si>
  <si>
    <t>scRNAseq</t>
  </si>
  <si>
    <t>3D7_RNAseq_SyncT9b</t>
  </si>
  <si>
    <t>3D7_RNAseq_SyncT9a</t>
  </si>
  <si>
    <t>3D7_RNAseq_SyncT8b</t>
  </si>
  <si>
    <t>3D7_RNAseq_SyncT8a</t>
  </si>
  <si>
    <t>3D7_RNAseq_SyncT7b</t>
  </si>
  <si>
    <t>3D7_RNAseq_SyncT7a</t>
  </si>
  <si>
    <t>3D7_RNAseq_SyncT6b</t>
  </si>
  <si>
    <t>3D7_RNAseq_SyncT6a</t>
  </si>
  <si>
    <t>3D7_RNAseq_SyncT5b</t>
  </si>
  <si>
    <t>3D7_RNAseq_SyncT5a</t>
  </si>
  <si>
    <t>3D7_RNAseq_SyncT4b</t>
  </si>
  <si>
    <t>3D7_RNAseq_SyncT4a</t>
  </si>
  <si>
    <t>3D7_RNAseq_SyncT3b</t>
  </si>
  <si>
    <t>3D7_RNAseq_SyncT3a</t>
  </si>
  <si>
    <t>3D7_RNAseq_SyncT2a</t>
  </si>
  <si>
    <t>3D7_RNAseq_SyncT1a</t>
  </si>
  <si>
    <t>3D7_RNAseq_SyncT14b</t>
  </si>
  <si>
    <t>3D7_RNAseq_SyncT14a</t>
  </si>
  <si>
    <t>3D7_RNAseq_SyncT13b</t>
  </si>
  <si>
    <t>3D7_RNAseq_SyncT13a</t>
  </si>
  <si>
    <t>3D7_RNAseq_SyncT12b</t>
  </si>
  <si>
    <t>3D7_RNAseq_SyncT12a</t>
  </si>
  <si>
    <t>3D7_RNAseq_SyncT11b</t>
  </si>
  <si>
    <t>3D7_RNAseq_SyncT11a</t>
  </si>
  <si>
    <t>3D7_RNAseq_SyncT10b</t>
  </si>
  <si>
    <t>3D7_RNAseq_JIPMER</t>
  </si>
  <si>
    <t>3D7_RNA_ONT_Melbourne</t>
  </si>
  <si>
    <t>RNA</t>
  </si>
  <si>
    <t>3D7_schizont_Petter_ChIPseq_H3K9me3</t>
  </si>
  <si>
    <t>SRR19082676</t>
  </si>
  <si>
    <t>3D7_D6F_Petter_ChIPseq_H2AZac</t>
  </si>
  <si>
    <t>SRR19082695</t>
  </si>
  <si>
    <t>3D7_GD6F_Petter_ChIPseq_H3K9me3</t>
  </si>
  <si>
    <t>SRR19082686</t>
  </si>
  <si>
    <t>3D7_GD6F_Petter_ChIPseq_H3K27ac</t>
  </si>
  <si>
    <t>SRR19082685</t>
  </si>
  <si>
    <t>3D7_Broad_Lib_12669</t>
  </si>
  <si>
    <t>7G8_Broad_SRX111831</t>
  </si>
  <si>
    <t>NF54_Cornell</t>
  </si>
  <si>
    <t>W2_UCSF</t>
  </si>
  <si>
    <t>GB4_Sanger</t>
  </si>
  <si>
    <t>UMIGS_NF54_SRR5314814</t>
  </si>
  <si>
    <t>Dd2_UCSD_2015</t>
  </si>
  <si>
    <t>HB3_Sanger</t>
  </si>
  <si>
    <t>Dd2_UCSD_2016</t>
  </si>
  <si>
    <t>D10_Penn</t>
  </si>
  <si>
    <t>SRR034510</t>
  </si>
  <si>
    <t>SRR2728500</t>
  </si>
  <si>
    <t>Dd2_Sanger</t>
  </si>
  <si>
    <t>D10_UCSF</t>
  </si>
  <si>
    <t>GB4_MalariaGEN_PF3K</t>
  </si>
  <si>
    <t>NF54_NCBI</t>
  </si>
  <si>
    <t>7G8_Silva</t>
  </si>
  <si>
    <t>HB3_UCSF</t>
  </si>
  <si>
    <t xml:space="preserve">Bases Sequenced </t>
  </si>
  <si>
    <t>3D7_Cornell_Pacbio_Sequel</t>
  </si>
  <si>
    <t>3D7_Tokyo_ONT_MinION</t>
  </si>
  <si>
    <t>HB3_Brown_ONT_MinION</t>
  </si>
  <si>
    <t>Dd2_UVA_ONT_MinION</t>
  </si>
  <si>
    <t>3D7_Cambridge_ONT_PromethION</t>
  </si>
  <si>
    <t>3D7_Sanger_Pacbio_Sequel</t>
  </si>
  <si>
    <t>ERR951797,ERR951796,ERR951795,ERR951794,ERR951793,ERR951792,ERR951791,ERR951790,ERR951789,ERR951788,ERR951787</t>
  </si>
  <si>
    <t>ERR866437,ERR866436,ERR852654,ERR852653,ERR849492</t>
  </si>
  <si>
    <t>ERR972373,ERR972372,ERR972371,ERR972370,ERR968290</t>
  </si>
  <si>
    <t>ERR914516,ERR914514,ERR914513,ERR914512,ERR914510</t>
  </si>
  <si>
    <t>ERR926634,ERR914517,ERR914515,ERR914511,ERR914509</t>
  </si>
  <si>
    <t>SRR7249432,SRR7249433,SRR7249431,SRR7249434</t>
  </si>
  <si>
    <t>SRR32815036,SRR32815064</t>
  </si>
  <si>
    <t>SRR32815040,SRR32815067</t>
  </si>
  <si>
    <t>Pacbio Sequel</t>
  </si>
  <si>
    <t>Dd2_UMIGS_GamsIII_RNA_ONT_MinION</t>
  </si>
  <si>
    <t>Dd2_UMIGS_Rings_RNA_ONT_MinION</t>
  </si>
  <si>
    <t>Pacbio RS</t>
  </si>
  <si>
    <t>Pacbio RS II</t>
  </si>
  <si>
    <t>MinION</t>
  </si>
  <si>
    <t>PromethION</t>
  </si>
  <si>
    <t>Material</t>
  </si>
  <si>
    <t>DNA</t>
  </si>
  <si>
    <t>Read Type</t>
  </si>
  <si>
    <t>Long</t>
  </si>
  <si>
    <t>Short</t>
  </si>
  <si>
    <t>Technology</t>
  </si>
  <si>
    <t>NF54_3D7 Prop Spec</t>
  </si>
  <si>
    <t>7G8 Prop Spec</t>
  </si>
  <si>
    <t>W2_Dd2 Prop Spec</t>
  </si>
  <si>
    <t>D10 Prop Spec</t>
  </si>
  <si>
    <t>HB3 Prop Spec</t>
  </si>
  <si>
    <t>GB4 Prop Spec</t>
  </si>
  <si>
    <t>Prop Positions Covered</t>
  </si>
  <si>
    <t>7G8  Prop Spec</t>
  </si>
  <si>
    <t>Prop Pos Covered</t>
  </si>
  <si>
    <t>W2_Dd2  Prop Spec</t>
  </si>
  <si>
    <t>D10  Prop Spec</t>
  </si>
  <si>
    <t>HB3  Prop Spec</t>
  </si>
  <si>
    <t>GB4  Prop Spec</t>
  </si>
  <si>
    <t>Shown in Figure1B</t>
  </si>
  <si>
    <t>SRR2221468</t>
  </si>
  <si>
    <t>Sample (Percent Dd2)</t>
  </si>
  <si>
    <t>Percent CDS Covered &gt;=50X</t>
  </si>
  <si>
    <t>Average CDS Coverage</t>
  </si>
  <si>
    <t>SRR27021957</t>
  </si>
  <si>
    <t>SRR27021958</t>
  </si>
  <si>
    <t>Pknowlesi_H_WGS</t>
  </si>
  <si>
    <t>Pvivax_NIH1993_WGS</t>
  </si>
  <si>
    <t>Pvivax_Chesson_WGS</t>
  </si>
  <si>
    <t>Shown in Figure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</si>
</sst>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3"/>
      <color rgb="FF000000"/>
      <name val="Times New Roman"/>
      <family val="1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6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7" borderId="1" xfId="0" applyFill="1" applyBorder="1"/>
    <xf numFmtId="0" fontId="0" fillId="7" borderId="3" xfId="0" applyFill="1" applyBorder="1"/>
    <xf numFmtId="0" fontId="0" fillId="7" borderId="4" xfId="0" applyFill="1" applyBorder="1"/>
    <xf numFmtId="0" fontId="0" fillId="8" borderId="10" xfId="0" applyFill="1" applyBorder="1"/>
    <xf numFmtId="0" fontId="0" fillId="8" borderId="0" xfId="0" applyFill="1"/>
    <xf numFmtId="0" fontId="0" fillId="8" borderId="6" xfId="0" applyFill="1" applyBorder="1"/>
    <xf numFmtId="0" fontId="0" fillId="8" borderId="11" xfId="0" applyFill="1" applyBorder="1"/>
    <xf numFmtId="0" fontId="0" fillId="8" borderId="8" xfId="0" applyFill="1" applyBorder="1"/>
    <xf numFmtId="0" fontId="0" fillId="8" borderId="9" xfId="0" applyFill="1" applyBorder="1"/>
    <xf numFmtId="0" fontId="0" fillId="4" borderId="6" xfId="0" applyFill="1" applyBorder="1"/>
    <xf numFmtId="0" fontId="0" fillId="4" borderId="9" xfId="0" applyFill="1" applyBorder="1"/>
    <xf numFmtId="0" fontId="0" fillId="7" borderId="2" xfId="0" applyFill="1" applyBorder="1"/>
    <xf numFmtId="0" fontId="0" fillId="6" borderId="11" xfId="0" applyFill="1" applyBorder="1"/>
    <xf numFmtId="0" fontId="0" fillId="5" borderId="10" xfId="0" applyFill="1" applyBorder="1"/>
    <xf numFmtId="0" fontId="0" fillId="5" borderId="11" xfId="0" applyFill="1" applyBorder="1"/>
    <xf numFmtId="0" fontId="0" fillId="3" borderId="10" xfId="0" applyFill="1" applyBorder="1"/>
    <xf numFmtId="0" fontId="0" fillId="6" borderId="10" xfId="0" applyFill="1" applyBorder="1"/>
    <xf numFmtId="0" fontId="0" fillId="8" borderId="5" xfId="0" applyFill="1" applyBorder="1"/>
    <xf numFmtId="0" fontId="0" fillId="8" borderId="7" xfId="0" applyFill="1" applyBorder="1"/>
    <xf numFmtId="0" fontId="0" fillId="2" borderId="5" xfId="0" applyFill="1" applyBorder="1"/>
    <xf numFmtId="0" fontId="0" fillId="2" borderId="7" xfId="0" applyFill="1" applyBorder="1"/>
    <xf numFmtId="0" fontId="0" fillId="3" borderId="11" xfId="0" applyFill="1" applyBorder="1"/>
    <xf numFmtId="0" fontId="0" fillId="7" borderId="0" xfId="0" applyFill="1"/>
    <xf numFmtId="0" fontId="3" fillId="9" borderId="3" xfId="0" applyFont="1" applyFill="1" applyBorder="1"/>
    <xf numFmtId="0" fontId="3" fillId="9" borderId="4" xfId="0" applyFont="1" applyFill="1" applyBorder="1"/>
    <xf numFmtId="0" fontId="3" fillId="10" borderId="6" xfId="0" applyFont="1" applyFill="1" applyBorder="1"/>
    <xf numFmtId="0" fontId="3" fillId="0" borderId="6" xfId="0" applyFont="1" applyBorder="1"/>
    <xf numFmtId="0" fontId="3" fillId="9" borderId="1" xfId="0" applyFont="1" applyFill="1" applyBorder="1"/>
    <xf numFmtId="0" fontId="3" fillId="10" borderId="10" xfId="0" applyFont="1" applyFill="1" applyBorder="1"/>
    <xf numFmtId="3" fontId="0" fillId="8" borderId="10" xfId="0" applyNumberFormat="1" applyFill="1" applyBorder="1"/>
    <xf numFmtId="3" fontId="2" fillId="8" borderId="11" xfId="0" applyNumberFormat="1" applyFont="1" applyFill="1" applyBorder="1"/>
    <xf numFmtId="3" fontId="0" fillId="8" borderId="11" xfId="0" applyNumberFormat="1" applyFill="1" applyBorder="1"/>
    <xf numFmtId="3" fontId="0" fillId="8" borderId="6" xfId="0" applyNumberFormat="1" applyFill="1" applyBorder="1"/>
    <xf numFmtId="3" fontId="0" fillId="8" borderId="9" xfId="0" applyNumberFormat="1" applyFill="1" applyBorder="1"/>
    <xf numFmtId="0" fontId="0" fillId="6" borderId="0" xfId="0" applyFill="1" applyBorder="1"/>
    <xf numFmtId="3" fontId="3" fillId="10" borderId="0" xfId="0" applyNumberFormat="1" applyFont="1" applyFill="1" applyBorder="1"/>
    <xf numFmtId="0" fontId="3" fillId="0" borderId="0" xfId="0" applyFont="1" applyBorder="1"/>
    <xf numFmtId="0" fontId="3" fillId="10" borderId="11" xfId="0" applyFont="1" applyFill="1" applyBorder="1"/>
    <xf numFmtId="0" fontId="3" fillId="10" borderId="9" xfId="0" applyFont="1" applyFill="1" applyBorder="1"/>
    <xf numFmtId="3" fontId="3" fillId="10" borderId="8" xfId="0" applyNumberFormat="1" applyFont="1" applyFill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8FF7-D262-B44E-8375-8BD0862A644D}">
  <dimension ref="A1:AI8"/>
  <sheetViews>
    <sheetView workbookViewId="0">
      <selection activeCell="B9" sqref="B9"/>
    </sheetView>
  </sheetViews>
  <sheetFormatPr baseColWidth="10" defaultRowHeight="16" x14ac:dyDescent="0.2"/>
  <cols>
    <col min="2" max="2" width="12.5" bestFit="1" customWidth="1"/>
    <col min="3" max="5" width="12.1640625" customWidth="1"/>
  </cols>
  <sheetData>
    <row r="1" spans="1:35" x14ac:dyDescent="0.2">
      <c r="A1" s="8" t="s">
        <v>0</v>
      </c>
      <c r="B1" s="8" t="s">
        <v>68</v>
      </c>
      <c r="C1" s="10" t="s">
        <v>244</v>
      </c>
      <c r="D1" s="9" t="s">
        <v>288</v>
      </c>
      <c r="E1" s="9" t="s">
        <v>289</v>
      </c>
      <c r="F1" s="19" t="s">
        <v>1</v>
      </c>
      <c r="G1" s="9" t="s">
        <v>2</v>
      </c>
      <c r="H1" s="9" t="s">
        <v>3</v>
      </c>
      <c r="I1" s="9" t="s">
        <v>4</v>
      </c>
      <c r="J1" s="10" t="s">
        <v>272</v>
      </c>
      <c r="K1" s="19" t="s">
        <v>5</v>
      </c>
      <c r="L1" s="9" t="s">
        <v>6</v>
      </c>
      <c r="M1" s="9" t="s">
        <v>7</v>
      </c>
      <c r="N1" s="9" t="s">
        <v>8</v>
      </c>
      <c r="O1" s="10" t="s">
        <v>279</v>
      </c>
      <c r="P1" s="19" t="s">
        <v>9</v>
      </c>
      <c r="Q1" s="9" t="s">
        <v>10</v>
      </c>
      <c r="R1" s="9" t="s">
        <v>11</v>
      </c>
      <c r="S1" s="9" t="s">
        <v>12</v>
      </c>
      <c r="T1" s="10" t="s">
        <v>281</v>
      </c>
      <c r="U1" s="19" t="s">
        <v>13</v>
      </c>
      <c r="V1" s="9" t="s">
        <v>14</v>
      </c>
      <c r="W1" s="9" t="s">
        <v>15</v>
      </c>
      <c r="X1" s="9" t="s">
        <v>16</v>
      </c>
      <c r="Y1" s="10" t="s">
        <v>282</v>
      </c>
      <c r="Z1" s="19" t="s">
        <v>17</v>
      </c>
      <c r="AA1" s="9" t="s">
        <v>18</v>
      </c>
      <c r="AB1" s="9" t="s">
        <v>19</v>
      </c>
      <c r="AC1" s="9" t="s">
        <v>20</v>
      </c>
      <c r="AD1" s="10" t="s">
        <v>283</v>
      </c>
      <c r="AE1" s="9" t="s">
        <v>21</v>
      </c>
      <c r="AF1" s="9" t="s">
        <v>22</v>
      </c>
      <c r="AG1" s="9" t="s">
        <v>23</v>
      </c>
      <c r="AH1" s="9" t="s">
        <v>24</v>
      </c>
      <c r="AI1" s="10" t="s">
        <v>284</v>
      </c>
    </row>
    <row r="2" spans="1:35" x14ac:dyDescent="0.2">
      <c r="A2" s="11" t="s">
        <v>238</v>
      </c>
      <c r="B2" s="11" t="s">
        <v>112</v>
      </c>
      <c r="C2" s="13">
        <v>35179145272</v>
      </c>
      <c r="D2" s="12">
        <v>94.974721599999995</v>
      </c>
      <c r="E2" s="12">
        <v>3361.4387780000002</v>
      </c>
      <c r="F2" s="3">
        <v>0</v>
      </c>
      <c r="G2">
        <v>1281</v>
      </c>
      <c r="H2">
        <v>5</v>
      </c>
      <c r="I2">
        <v>11</v>
      </c>
      <c r="J2" s="17">
        <f>F2/(SUM(F2:H2))</f>
        <v>0</v>
      </c>
      <c r="K2" s="3">
        <v>1</v>
      </c>
      <c r="L2">
        <v>837</v>
      </c>
      <c r="M2">
        <v>6</v>
      </c>
      <c r="N2">
        <v>18</v>
      </c>
      <c r="O2" s="17">
        <f>K2/(SUM(K2:M2))</f>
        <v>1.1848341232227489E-3</v>
      </c>
      <c r="P2" s="3">
        <v>643</v>
      </c>
      <c r="Q2">
        <v>1</v>
      </c>
      <c r="R2">
        <v>10</v>
      </c>
      <c r="S2">
        <v>12</v>
      </c>
      <c r="T2" s="17">
        <f>P2/(SUM(P2:R2))</f>
        <v>0.98318042813455653</v>
      </c>
      <c r="U2" s="3">
        <v>3</v>
      </c>
      <c r="V2">
        <v>663</v>
      </c>
      <c r="W2">
        <v>10</v>
      </c>
      <c r="X2">
        <v>15</v>
      </c>
      <c r="Y2" s="17">
        <f>U2/(SUM(U2:W2))</f>
        <v>4.4378698224852072E-3</v>
      </c>
      <c r="Z2" s="3">
        <v>0</v>
      </c>
      <c r="AA2">
        <v>629</v>
      </c>
      <c r="AB2">
        <v>12</v>
      </c>
      <c r="AC2">
        <v>15</v>
      </c>
      <c r="AD2" s="17">
        <f>Z2/(SUM(Z2:AB2))</f>
        <v>0</v>
      </c>
      <c r="AE2">
        <v>0</v>
      </c>
      <c r="AF2">
        <v>889</v>
      </c>
      <c r="AG2">
        <v>3</v>
      </c>
      <c r="AH2">
        <v>14</v>
      </c>
      <c r="AI2" s="17">
        <f>AE2/(SUM(AE2:AG2))</f>
        <v>0</v>
      </c>
    </row>
    <row r="3" spans="1:35" x14ac:dyDescent="0.2">
      <c r="A3" s="11" t="s">
        <v>229</v>
      </c>
      <c r="B3" s="11" t="s">
        <v>113</v>
      </c>
      <c r="C3" s="13">
        <v>20035509896</v>
      </c>
      <c r="D3" s="12">
        <v>94.65298086</v>
      </c>
      <c r="E3" s="12">
        <v>665.214878</v>
      </c>
      <c r="F3" s="3">
        <v>0</v>
      </c>
      <c r="G3">
        <v>1282</v>
      </c>
      <c r="H3">
        <v>4</v>
      </c>
      <c r="I3">
        <v>11</v>
      </c>
      <c r="J3" s="17">
        <f t="shared" ref="J3:J8" si="0">F3/(SUM(F3:H3))</f>
        <v>0</v>
      </c>
      <c r="K3" s="3">
        <v>1</v>
      </c>
      <c r="L3">
        <v>838</v>
      </c>
      <c r="M3">
        <v>5</v>
      </c>
      <c r="N3">
        <v>18</v>
      </c>
      <c r="O3" s="17">
        <f t="shared" ref="O3:O8" si="1">K3/(SUM(K3:M3))</f>
        <v>1.1848341232227489E-3</v>
      </c>
      <c r="P3" s="3">
        <v>641</v>
      </c>
      <c r="Q3">
        <v>1</v>
      </c>
      <c r="R3">
        <v>11</v>
      </c>
      <c r="S3">
        <v>13</v>
      </c>
      <c r="T3" s="17">
        <f t="shared" ref="T3:T8" si="2">P3/(SUM(P3:R3))</f>
        <v>0.98162327718223585</v>
      </c>
      <c r="U3" s="3">
        <v>3</v>
      </c>
      <c r="V3">
        <v>664</v>
      </c>
      <c r="W3">
        <v>9</v>
      </c>
      <c r="X3">
        <v>15</v>
      </c>
      <c r="Y3" s="17">
        <f t="shared" ref="Y3:Y8" si="3">U3/(SUM(U3:W3))</f>
        <v>4.4378698224852072E-3</v>
      </c>
      <c r="Z3" s="3">
        <v>0</v>
      </c>
      <c r="AA3">
        <v>628</v>
      </c>
      <c r="AB3">
        <v>13</v>
      </c>
      <c r="AC3">
        <v>15</v>
      </c>
      <c r="AD3" s="17">
        <f t="shared" ref="AD3:AD8" si="4">Z3/(SUM(Z3:AB3))</f>
        <v>0</v>
      </c>
      <c r="AE3">
        <v>0</v>
      </c>
      <c r="AF3">
        <v>888</v>
      </c>
      <c r="AG3">
        <v>4</v>
      </c>
      <c r="AH3">
        <v>14</v>
      </c>
      <c r="AI3" s="17">
        <f t="shared" ref="AI3:AI8" si="5">AE3/(SUM(AE3:AG3))</f>
        <v>0</v>
      </c>
    </row>
    <row r="4" spans="1:35" x14ac:dyDescent="0.2">
      <c r="A4" s="11" t="s">
        <v>239</v>
      </c>
      <c r="B4" s="11" t="s">
        <v>114</v>
      </c>
      <c r="C4" s="13">
        <v>21077588378</v>
      </c>
      <c r="D4" s="12">
        <v>94.267029579999999</v>
      </c>
      <c r="E4" s="12">
        <v>573.25065979999999</v>
      </c>
      <c r="F4" s="3">
        <v>0</v>
      </c>
      <c r="G4">
        <v>1279</v>
      </c>
      <c r="H4">
        <v>4</v>
      </c>
      <c r="I4">
        <v>14</v>
      </c>
      <c r="J4" s="17">
        <f t="shared" si="0"/>
        <v>0</v>
      </c>
      <c r="K4" s="3">
        <v>1</v>
      </c>
      <c r="L4">
        <v>834</v>
      </c>
      <c r="M4">
        <v>6</v>
      </c>
      <c r="N4">
        <v>21</v>
      </c>
      <c r="O4" s="17">
        <f t="shared" si="1"/>
        <v>1.1890606420927466E-3</v>
      </c>
      <c r="P4" s="3">
        <v>1</v>
      </c>
      <c r="Q4">
        <v>645</v>
      </c>
      <c r="R4">
        <v>8</v>
      </c>
      <c r="S4">
        <v>12</v>
      </c>
      <c r="T4" s="17">
        <f t="shared" si="2"/>
        <v>1.5290519877675841E-3</v>
      </c>
      <c r="U4" s="3">
        <v>664</v>
      </c>
      <c r="V4">
        <v>1</v>
      </c>
      <c r="W4">
        <v>9</v>
      </c>
      <c r="X4">
        <v>17</v>
      </c>
      <c r="Y4" s="17">
        <f t="shared" si="3"/>
        <v>0.98516320474777452</v>
      </c>
      <c r="Z4" s="3">
        <v>1</v>
      </c>
      <c r="AA4">
        <v>629</v>
      </c>
      <c r="AB4">
        <v>13</v>
      </c>
      <c r="AC4">
        <v>13</v>
      </c>
      <c r="AD4" s="17">
        <f t="shared" si="4"/>
        <v>1.5552099533437014E-3</v>
      </c>
      <c r="AE4">
        <v>0</v>
      </c>
      <c r="AF4">
        <v>885</v>
      </c>
      <c r="AG4">
        <v>3</v>
      </c>
      <c r="AH4">
        <v>18</v>
      </c>
      <c r="AI4" s="17">
        <f t="shared" si="5"/>
        <v>0</v>
      </c>
    </row>
    <row r="5" spans="1:35" x14ac:dyDescent="0.2">
      <c r="A5" s="11" t="s">
        <v>240</v>
      </c>
      <c r="B5" s="11" t="s">
        <v>115</v>
      </c>
      <c r="C5" s="13">
        <v>2661801352</v>
      </c>
      <c r="D5" s="12">
        <v>93.22903814</v>
      </c>
      <c r="E5" s="12">
        <v>117.2104422</v>
      </c>
      <c r="F5" s="3">
        <v>0</v>
      </c>
      <c r="G5">
        <v>1278</v>
      </c>
      <c r="H5">
        <v>4</v>
      </c>
      <c r="I5">
        <v>15</v>
      </c>
      <c r="J5" s="17">
        <f t="shared" si="0"/>
        <v>0</v>
      </c>
      <c r="K5" s="3">
        <v>2</v>
      </c>
      <c r="L5">
        <v>845</v>
      </c>
      <c r="M5">
        <v>4</v>
      </c>
      <c r="N5">
        <v>11</v>
      </c>
      <c r="O5" s="17">
        <f t="shared" si="1"/>
        <v>2.3501762632197414E-3</v>
      </c>
      <c r="P5" s="3">
        <v>1</v>
      </c>
      <c r="Q5">
        <v>650</v>
      </c>
      <c r="R5">
        <v>5</v>
      </c>
      <c r="S5">
        <v>10</v>
      </c>
      <c r="T5" s="17">
        <f t="shared" si="2"/>
        <v>1.5243902439024391E-3</v>
      </c>
      <c r="U5" s="3">
        <v>1</v>
      </c>
      <c r="V5">
        <v>673</v>
      </c>
      <c r="W5">
        <v>9</v>
      </c>
      <c r="X5">
        <v>8</v>
      </c>
      <c r="Y5" s="17">
        <f t="shared" si="3"/>
        <v>1.4641288433382138E-3</v>
      </c>
      <c r="Z5" s="3">
        <v>1</v>
      </c>
      <c r="AA5">
        <v>632</v>
      </c>
      <c r="AB5">
        <v>12</v>
      </c>
      <c r="AC5">
        <v>11</v>
      </c>
      <c r="AD5" s="17">
        <f t="shared" si="4"/>
        <v>1.5503875968992248E-3</v>
      </c>
      <c r="AE5">
        <v>881</v>
      </c>
      <c r="AF5">
        <v>0</v>
      </c>
      <c r="AG5">
        <v>5</v>
      </c>
      <c r="AH5">
        <v>20</v>
      </c>
      <c r="AI5" s="17">
        <f t="shared" si="5"/>
        <v>0.99435665914221216</v>
      </c>
    </row>
    <row r="6" spans="1:35" x14ac:dyDescent="0.2">
      <c r="A6" s="11" t="s">
        <v>241</v>
      </c>
      <c r="B6" s="11" t="s">
        <v>116</v>
      </c>
      <c r="C6" s="13">
        <v>11039412464</v>
      </c>
      <c r="D6" s="12">
        <v>99.516168570000005</v>
      </c>
      <c r="E6" s="12">
        <v>452.82151449999998</v>
      </c>
      <c r="F6" s="3">
        <v>1282</v>
      </c>
      <c r="G6">
        <v>0</v>
      </c>
      <c r="H6">
        <v>15</v>
      </c>
      <c r="I6">
        <v>0</v>
      </c>
      <c r="J6" s="17">
        <f t="shared" si="0"/>
        <v>0.98843484965304551</v>
      </c>
      <c r="K6" s="3">
        <v>0</v>
      </c>
      <c r="L6">
        <v>857</v>
      </c>
      <c r="M6">
        <v>5</v>
      </c>
      <c r="N6">
        <v>0</v>
      </c>
      <c r="O6" s="17">
        <f t="shared" si="1"/>
        <v>0</v>
      </c>
      <c r="P6" s="3">
        <v>0</v>
      </c>
      <c r="Q6">
        <v>659</v>
      </c>
      <c r="R6">
        <v>7</v>
      </c>
      <c r="S6">
        <v>0</v>
      </c>
      <c r="T6" s="17">
        <f t="shared" si="2"/>
        <v>0</v>
      </c>
      <c r="U6" s="3">
        <v>0</v>
      </c>
      <c r="V6">
        <v>681</v>
      </c>
      <c r="W6">
        <v>10</v>
      </c>
      <c r="X6">
        <v>0</v>
      </c>
      <c r="Y6" s="17">
        <f t="shared" si="3"/>
        <v>0</v>
      </c>
      <c r="Z6" s="3">
        <v>0</v>
      </c>
      <c r="AA6">
        <v>646</v>
      </c>
      <c r="AB6">
        <v>10</v>
      </c>
      <c r="AC6">
        <v>0</v>
      </c>
      <c r="AD6" s="17">
        <f t="shared" si="4"/>
        <v>0</v>
      </c>
      <c r="AE6">
        <v>0</v>
      </c>
      <c r="AF6">
        <v>903</v>
      </c>
      <c r="AG6">
        <v>3</v>
      </c>
      <c r="AH6">
        <v>0</v>
      </c>
      <c r="AI6" s="17">
        <f t="shared" si="5"/>
        <v>0</v>
      </c>
    </row>
    <row r="7" spans="1:35" x14ac:dyDescent="0.2">
      <c r="A7" s="11" t="s">
        <v>242</v>
      </c>
      <c r="B7" s="11" t="s">
        <v>117</v>
      </c>
      <c r="C7" s="13">
        <v>7282929622</v>
      </c>
      <c r="D7" s="12">
        <v>92.887379030000005</v>
      </c>
      <c r="E7" s="12">
        <v>205.37848840000001</v>
      </c>
      <c r="F7" s="3">
        <v>0</v>
      </c>
      <c r="G7">
        <v>1277</v>
      </c>
      <c r="H7">
        <v>4</v>
      </c>
      <c r="I7">
        <v>16</v>
      </c>
      <c r="J7" s="17">
        <f t="shared" si="0"/>
        <v>0</v>
      </c>
      <c r="K7" s="3">
        <v>835</v>
      </c>
      <c r="L7">
        <v>3</v>
      </c>
      <c r="M7">
        <v>5</v>
      </c>
      <c r="N7">
        <v>19</v>
      </c>
      <c r="O7" s="17">
        <f t="shared" si="1"/>
        <v>0.99051008303677346</v>
      </c>
      <c r="P7" s="3">
        <v>1</v>
      </c>
      <c r="Q7">
        <v>649</v>
      </c>
      <c r="R7">
        <v>6</v>
      </c>
      <c r="S7">
        <v>10</v>
      </c>
      <c r="T7" s="17">
        <f t="shared" si="2"/>
        <v>1.5243902439024391E-3</v>
      </c>
      <c r="U7" s="3">
        <v>0</v>
      </c>
      <c r="V7">
        <v>669</v>
      </c>
      <c r="W7">
        <v>10</v>
      </c>
      <c r="X7">
        <v>12</v>
      </c>
      <c r="Y7" s="17">
        <f t="shared" si="3"/>
        <v>0</v>
      </c>
      <c r="Z7" s="3">
        <v>2</v>
      </c>
      <c r="AA7">
        <v>632</v>
      </c>
      <c r="AB7">
        <v>11</v>
      </c>
      <c r="AC7">
        <v>11</v>
      </c>
      <c r="AD7" s="17">
        <f t="shared" si="4"/>
        <v>3.1007751937984496E-3</v>
      </c>
      <c r="AE7">
        <v>0</v>
      </c>
      <c r="AF7">
        <v>886</v>
      </c>
      <c r="AG7">
        <v>2</v>
      </c>
      <c r="AH7">
        <v>18</v>
      </c>
      <c r="AI7" s="17">
        <f t="shared" si="5"/>
        <v>0</v>
      </c>
    </row>
    <row r="8" spans="1:35" x14ac:dyDescent="0.2">
      <c r="A8" s="14" t="s">
        <v>243</v>
      </c>
      <c r="B8" s="14" t="s">
        <v>118</v>
      </c>
      <c r="C8" s="16">
        <v>18488564726</v>
      </c>
      <c r="D8" s="15">
        <v>94.286947949999998</v>
      </c>
      <c r="E8" s="15">
        <v>582.7578896</v>
      </c>
      <c r="F8" s="5">
        <v>0</v>
      </c>
      <c r="G8" s="6">
        <v>1272</v>
      </c>
      <c r="H8" s="6">
        <v>4</v>
      </c>
      <c r="I8" s="6">
        <v>21</v>
      </c>
      <c r="J8" s="18">
        <f t="shared" si="0"/>
        <v>0</v>
      </c>
      <c r="K8" s="5">
        <v>1</v>
      </c>
      <c r="L8" s="6">
        <v>839</v>
      </c>
      <c r="M8" s="6">
        <v>7</v>
      </c>
      <c r="N8" s="6">
        <v>15</v>
      </c>
      <c r="O8" s="18">
        <f t="shared" si="1"/>
        <v>1.1806375442739079E-3</v>
      </c>
      <c r="P8" s="5">
        <v>1</v>
      </c>
      <c r="Q8" s="6">
        <v>647</v>
      </c>
      <c r="R8" s="6">
        <v>7</v>
      </c>
      <c r="S8" s="6">
        <v>11</v>
      </c>
      <c r="T8" s="18">
        <f t="shared" si="2"/>
        <v>1.5267175572519084E-3</v>
      </c>
      <c r="U8" s="5">
        <v>0</v>
      </c>
      <c r="V8" s="6">
        <v>667</v>
      </c>
      <c r="W8" s="6">
        <v>10</v>
      </c>
      <c r="X8" s="6">
        <v>14</v>
      </c>
      <c r="Y8" s="18">
        <f t="shared" si="3"/>
        <v>0</v>
      </c>
      <c r="Z8" s="5">
        <v>632</v>
      </c>
      <c r="AA8" s="6">
        <v>2</v>
      </c>
      <c r="AB8" s="6">
        <v>8</v>
      </c>
      <c r="AC8" s="6">
        <v>14</v>
      </c>
      <c r="AD8" s="18">
        <f t="shared" si="4"/>
        <v>0.98442367601246106</v>
      </c>
      <c r="AE8" s="6">
        <v>0</v>
      </c>
      <c r="AF8" s="6">
        <v>882</v>
      </c>
      <c r="AG8" s="6">
        <v>4</v>
      </c>
      <c r="AH8" s="6">
        <v>20</v>
      </c>
      <c r="AI8" s="18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988C-7552-5B43-A87A-E89B24BF4833}">
  <dimension ref="A1:AH11"/>
  <sheetViews>
    <sheetView workbookViewId="0">
      <selection activeCell="B21" sqref="B21"/>
    </sheetView>
  </sheetViews>
  <sheetFormatPr baseColWidth="10" defaultRowHeight="16" x14ac:dyDescent="0.2"/>
  <cols>
    <col min="1" max="1" width="23.33203125" bestFit="1" customWidth="1"/>
    <col min="2" max="3" width="23.33203125" customWidth="1"/>
    <col min="34" max="34" width="15.1640625" bestFit="1" customWidth="1"/>
  </cols>
  <sheetData>
    <row r="1" spans="1:34" x14ac:dyDescent="0.2">
      <c r="A1" s="8" t="s">
        <v>0</v>
      </c>
      <c r="B1" s="8" t="s">
        <v>68</v>
      </c>
      <c r="C1" s="8" t="s">
        <v>167</v>
      </c>
      <c r="D1" s="19" t="s">
        <v>1</v>
      </c>
      <c r="E1" s="9" t="s">
        <v>2</v>
      </c>
      <c r="F1" s="9" t="s">
        <v>3</v>
      </c>
      <c r="G1" s="9" t="s">
        <v>4</v>
      </c>
      <c r="H1" s="10" t="s">
        <v>272</v>
      </c>
      <c r="I1" s="19" t="s">
        <v>5</v>
      </c>
      <c r="J1" s="9" t="s">
        <v>6</v>
      </c>
      <c r="K1" s="9" t="s">
        <v>7</v>
      </c>
      <c r="L1" s="9" t="s">
        <v>8</v>
      </c>
      <c r="M1" s="10" t="s">
        <v>279</v>
      </c>
      <c r="N1" s="19" t="s">
        <v>9</v>
      </c>
      <c r="O1" s="9" t="s">
        <v>10</v>
      </c>
      <c r="P1" s="9" t="s">
        <v>11</v>
      </c>
      <c r="Q1" s="9" t="s">
        <v>12</v>
      </c>
      <c r="R1" s="10" t="s">
        <v>274</v>
      </c>
      <c r="S1" s="19" t="s">
        <v>13</v>
      </c>
      <c r="T1" s="9" t="s">
        <v>14</v>
      </c>
      <c r="U1" s="9" t="s">
        <v>15</v>
      </c>
      <c r="V1" s="9" t="s">
        <v>16</v>
      </c>
      <c r="W1" s="10" t="s">
        <v>275</v>
      </c>
      <c r="X1" s="19" t="s">
        <v>17</v>
      </c>
      <c r="Y1" s="9" t="s">
        <v>18</v>
      </c>
      <c r="Z1" s="9" t="s">
        <v>19</v>
      </c>
      <c r="AA1" s="9" t="s">
        <v>20</v>
      </c>
      <c r="AB1" s="10" t="s">
        <v>276</v>
      </c>
      <c r="AC1" s="19" t="s">
        <v>21</v>
      </c>
      <c r="AD1" s="9" t="s">
        <v>22</v>
      </c>
      <c r="AE1" s="9" t="s">
        <v>23</v>
      </c>
      <c r="AF1" s="9" t="s">
        <v>24</v>
      </c>
      <c r="AG1" s="10" t="s">
        <v>277</v>
      </c>
      <c r="AH1" s="8" t="s">
        <v>280</v>
      </c>
    </row>
    <row r="2" spans="1:34" x14ac:dyDescent="0.2">
      <c r="A2" s="11" t="s">
        <v>226</v>
      </c>
      <c r="B2" s="11" t="s">
        <v>236</v>
      </c>
      <c r="C2" s="37">
        <v>4830604770</v>
      </c>
      <c r="D2" s="3">
        <v>1259</v>
      </c>
      <c r="E2">
        <v>0</v>
      </c>
      <c r="F2">
        <v>15</v>
      </c>
      <c r="G2">
        <v>23</v>
      </c>
      <c r="H2" s="17">
        <f>D2/(SUM(D2:F2))</f>
        <v>0.98822605965463106</v>
      </c>
      <c r="I2" s="3">
        <v>0</v>
      </c>
      <c r="J2">
        <v>832</v>
      </c>
      <c r="K2">
        <v>5</v>
      </c>
      <c r="L2">
        <v>25</v>
      </c>
      <c r="M2" s="17">
        <f>I2/(SUM(I2:K2))</f>
        <v>0</v>
      </c>
      <c r="N2" s="3">
        <v>0</v>
      </c>
      <c r="O2">
        <v>647</v>
      </c>
      <c r="P2">
        <v>7</v>
      </c>
      <c r="Q2">
        <v>12</v>
      </c>
      <c r="R2" s="17">
        <f>N2/(SUM(N2:P2))</f>
        <v>0</v>
      </c>
      <c r="S2" s="3">
        <v>0</v>
      </c>
      <c r="T2">
        <v>669</v>
      </c>
      <c r="U2">
        <v>10</v>
      </c>
      <c r="V2">
        <v>12</v>
      </c>
      <c r="W2" s="17">
        <f>S2/(SUM(S2:U2))</f>
        <v>0</v>
      </c>
      <c r="X2" s="3">
        <v>0</v>
      </c>
      <c r="Y2">
        <v>636</v>
      </c>
      <c r="Z2">
        <v>11</v>
      </c>
      <c r="AA2">
        <v>9</v>
      </c>
      <c r="AB2" s="17">
        <f>X2/(SUM(X2:Z2))</f>
        <v>0</v>
      </c>
      <c r="AC2" s="3">
        <v>0</v>
      </c>
      <c r="AD2">
        <v>882</v>
      </c>
      <c r="AE2">
        <v>5</v>
      </c>
      <c r="AF2">
        <v>19</v>
      </c>
      <c r="AG2" s="17">
        <f>AC2/(SUM(AC2:AE2))</f>
        <v>0</v>
      </c>
      <c r="AH2" s="21">
        <f>SUM(D2:F2,I2:K2,N2:P2,S2:U2,X2:Z2,AC2:AE2)/SUM(D2:G2,I2:L2,N2:Q2,S2:V2,X2:AA2,AC2:AF2)</f>
        <v>0.98030720756203227</v>
      </c>
    </row>
    <row r="3" spans="1:34" x14ac:dyDescent="0.2">
      <c r="A3" s="11" t="s">
        <v>227</v>
      </c>
      <c r="B3" s="11" t="s">
        <v>119</v>
      </c>
      <c r="C3" s="37">
        <v>2848812464</v>
      </c>
      <c r="D3" s="3">
        <v>0</v>
      </c>
      <c r="E3">
        <v>1247</v>
      </c>
      <c r="F3">
        <v>4</v>
      </c>
      <c r="G3">
        <v>46</v>
      </c>
      <c r="H3" s="17">
        <f t="shared" ref="H3:H11" si="0">D3/(SUM(D3:F3))</f>
        <v>0</v>
      </c>
      <c r="I3" s="3">
        <v>809</v>
      </c>
      <c r="J3">
        <v>3</v>
      </c>
      <c r="K3">
        <v>5</v>
      </c>
      <c r="L3">
        <v>45</v>
      </c>
      <c r="M3" s="17">
        <f t="shared" ref="M3:M11" si="1">I3/(SUM(I3:K3))</f>
        <v>0.99020807833537328</v>
      </c>
      <c r="N3" s="3">
        <v>1</v>
      </c>
      <c r="O3">
        <v>632</v>
      </c>
      <c r="P3">
        <v>8</v>
      </c>
      <c r="Q3">
        <v>25</v>
      </c>
      <c r="R3" s="17">
        <f t="shared" ref="R3:R11" si="2">N3/(SUM(N3:P3))</f>
        <v>1.5600624024960999E-3</v>
      </c>
      <c r="S3" s="3">
        <v>0</v>
      </c>
      <c r="T3">
        <v>649</v>
      </c>
      <c r="U3">
        <v>11</v>
      </c>
      <c r="V3">
        <v>31</v>
      </c>
      <c r="W3" s="17">
        <f t="shared" ref="W3:W11" si="3">S3/(SUM(S3:U3))</f>
        <v>0</v>
      </c>
      <c r="X3" s="3">
        <v>2</v>
      </c>
      <c r="Y3">
        <v>612</v>
      </c>
      <c r="Z3">
        <v>13</v>
      </c>
      <c r="AA3">
        <v>29</v>
      </c>
      <c r="AB3" s="17">
        <f t="shared" ref="AB3:AB11" si="4">X3/(SUM(X3:Z3))</f>
        <v>3.189792663476874E-3</v>
      </c>
      <c r="AC3" s="3">
        <v>0</v>
      </c>
      <c r="AD3">
        <v>864</v>
      </c>
      <c r="AE3">
        <v>2</v>
      </c>
      <c r="AF3">
        <v>40</v>
      </c>
      <c r="AG3" s="17">
        <f t="shared" ref="AG3:AG11" si="5">AC3/(SUM(AC3:AE3))</f>
        <v>0</v>
      </c>
      <c r="AH3" s="21">
        <f t="shared" ref="AH3:AH11" si="6">SUM(D3:F3,I3:K3,N3:P3,S3:U3,X3:Z3,AC3:AE3)/SUM(D3:G3,I3:L3,N3:Q3,S3:V3,X3:AA3,AC3:AF3)</f>
        <v>0.95746356833398971</v>
      </c>
    </row>
    <row r="4" spans="1:34" x14ac:dyDescent="0.2">
      <c r="A4" s="11" t="s">
        <v>228</v>
      </c>
      <c r="B4" s="11" t="s">
        <v>120</v>
      </c>
      <c r="C4" s="37">
        <v>1638064006</v>
      </c>
      <c r="D4" s="3">
        <v>1249</v>
      </c>
      <c r="E4">
        <v>0</v>
      </c>
      <c r="F4">
        <v>16</v>
      </c>
      <c r="G4">
        <v>32</v>
      </c>
      <c r="H4" s="17">
        <f t="shared" si="0"/>
        <v>0.98735177865612644</v>
      </c>
      <c r="I4" s="3">
        <v>0</v>
      </c>
      <c r="J4">
        <v>834</v>
      </c>
      <c r="K4">
        <v>5</v>
      </c>
      <c r="L4">
        <v>23</v>
      </c>
      <c r="M4" s="17">
        <f t="shared" si="1"/>
        <v>0</v>
      </c>
      <c r="N4" s="3">
        <v>0</v>
      </c>
      <c r="O4">
        <v>644</v>
      </c>
      <c r="P4">
        <v>6</v>
      </c>
      <c r="Q4">
        <v>16</v>
      </c>
      <c r="R4" s="17">
        <f t="shared" si="2"/>
        <v>0</v>
      </c>
      <c r="S4" s="3">
        <v>0</v>
      </c>
      <c r="T4">
        <v>667</v>
      </c>
      <c r="U4">
        <v>10</v>
      </c>
      <c r="V4">
        <v>14</v>
      </c>
      <c r="W4" s="17">
        <f t="shared" si="3"/>
        <v>0</v>
      </c>
      <c r="X4" s="3">
        <v>0</v>
      </c>
      <c r="Y4">
        <v>632</v>
      </c>
      <c r="Z4">
        <v>11</v>
      </c>
      <c r="AA4">
        <v>13</v>
      </c>
      <c r="AB4" s="17">
        <f t="shared" si="4"/>
        <v>0</v>
      </c>
      <c r="AC4" s="3">
        <v>0</v>
      </c>
      <c r="AD4">
        <v>882</v>
      </c>
      <c r="AE4">
        <v>3</v>
      </c>
      <c r="AF4">
        <v>21</v>
      </c>
      <c r="AG4" s="17">
        <f t="shared" si="5"/>
        <v>0</v>
      </c>
      <c r="AH4" s="21">
        <f t="shared" si="6"/>
        <v>0.97656557699881841</v>
      </c>
    </row>
    <row r="5" spans="1:34" x14ac:dyDescent="0.2">
      <c r="A5" s="11" t="s">
        <v>229</v>
      </c>
      <c r="B5" s="11" t="s">
        <v>121</v>
      </c>
      <c r="C5" s="37">
        <v>18444065194</v>
      </c>
      <c r="D5" s="3">
        <v>0</v>
      </c>
      <c r="E5">
        <v>1282</v>
      </c>
      <c r="F5">
        <v>4</v>
      </c>
      <c r="G5">
        <v>11</v>
      </c>
      <c r="H5" s="17">
        <f t="shared" si="0"/>
        <v>0</v>
      </c>
      <c r="I5" s="3">
        <v>1</v>
      </c>
      <c r="J5">
        <v>838</v>
      </c>
      <c r="K5">
        <v>5</v>
      </c>
      <c r="L5">
        <v>18</v>
      </c>
      <c r="M5" s="17">
        <f t="shared" si="1"/>
        <v>1.1848341232227489E-3</v>
      </c>
      <c r="N5" s="3">
        <v>641</v>
      </c>
      <c r="O5">
        <v>1</v>
      </c>
      <c r="P5">
        <v>11</v>
      </c>
      <c r="Q5">
        <v>13</v>
      </c>
      <c r="R5" s="17">
        <f t="shared" si="2"/>
        <v>0.98162327718223585</v>
      </c>
      <c r="S5" s="3">
        <v>3</v>
      </c>
      <c r="T5">
        <v>663</v>
      </c>
      <c r="U5">
        <v>9</v>
      </c>
      <c r="V5">
        <v>16</v>
      </c>
      <c r="W5" s="17">
        <f t="shared" si="3"/>
        <v>4.4444444444444444E-3</v>
      </c>
      <c r="X5" s="3">
        <v>0</v>
      </c>
      <c r="Y5">
        <v>630</v>
      </c>
      <c r="Z5">
        <v>11</v>
      </c>
      <c r="AA5">
        <v>15</v>
      </c>
      <c r="AB5" s="17">
        <f t="shared" si="4"/>
        <v>0</v>
      </c>
      <c r="AC5" s="3">
        <v>0</v>
      </c>
      <c r="AD5">
        <v>888</v>
      </c>
      <c r="AE5">
        <v>4</v>
      </c>
      <c r="AF5">
        <v>14</v>
      </c>
      <c r="AG5" s="17">
        <f t="shared" si="5"/>
        <v>0</v>
      </c>
      <c r="AH5" s="21">
        <f t="shared" si="6"/>
        <v>0.98286727057896806</v>
      </c>
    </row>
    <row r="6" spans="1:34" x14ac:dyDescent="0.2">
      <c r="A6" s="11" t="s">
        <v>230</v>
      </c>
      <c r="B6" s="11" t="s">
        <v>122</v>
      </c>
      <c r="C6" s="37">
        <v>1145207500</v>
      </c>
      <c r="D6" s="3">
        <v>0</v>
      </c>
      <c r="E6">
        <v>1061</v>
      </c>
      <c r="F6">
        <v>4</v>
      </c>
      <c r="G6">
        <v>232</v>
      </c>
      <c r="H6" s="17">
        <f t="shared" si="0"/>
        <v>0</v>
      </c>
      <c r="I6" s="3">
        <v>1</v>
      </c>
      <c r="J6">
        <v>714</v>
      </c>
      <c r="K6">
        <v>4</v>
      </c>
      <c r="L6">
        <v>143</v>
      </c>
      <c r="M6" s="17">
        <f t="shared" si="1"/>
        <v>1.3908205841446453E-3</v>
      </c>
      <c r="N6" s="3">
        <v>1</v>
      </c>
      <c r="O6">
        <v>539</v>
      </c>
      <c r="P6">
        <v>9</v>
      </c>
      <c r="Q6">
        <v>117</v>
      </c>
      <c r="R6" s="17">
        <f t="shared" si="2"/>
        <v>1.8214936247723133E-3</v>
      </c>
      <c r="S6" s="3">
        <v>1</v>
      </c>
      <c r="T6">
        <v>554</v>
      </c>
      <c r="U6">
        <v>10</v>
      </c>
      <c r="V6">
        <v>126</v>
      </c>
      <c r="W6" s="17">
        <f t="shared" si="3"/>
        <v>1.7699115044247787E-3</v>
      </c>
      <c r="X6" s="3">
        <v>1</v>
      </c>
      <c r="Y6">
        <v>541</v>
      </c>
      <c r="Z6">
        <v>13</v>
      </c>
      <c r="AA6">
        <v>101</v>
      </c>
      <c r="AB6" s="17">
        <f t="shared" si="4"/>
        <v>1.8018018018018018E-3</v>
      </c>
      <c r="AC6" s="3">
        <v>742</v>
      </c>
      <c r="AD6">
        <v>0</v>
      </c>
      <c r="AE6">
        <v>5</v>
      </c>
      <c r="AF6">
        <v>159</v>
      </c>
      <c r="AG6" s="17">
        <f t="shared" si="5"/>
        <v>0.99330655957161984</v>
      </c>
      <c r="AH6" s="21">
        <f t="shared" si="6"/>
        <v>0.82709728239464353</v>
      </c>
    </row>
    <row r="7" spans="1:34" x14ac:dyDescent="0.2">
      <c r="A7" s="11" t="s">
        <v>231</v>
      </c>
      <c r="B7" s="11" t="s">
        <v>123</v>
      </c>
      <c r="C7" s="37">
        <v>3565020634</v>
      </c>
      <c r="D7" s="3">
        <v>1282</v>
      </c>
      <c r="E7">
        <v>1</v>
      </c>
      <c r="F7">
        <v>14</v>
      </c>
      <c r="G7">
        <v>0</v>
      </c>
      <c r="H7" s="17">
        <f t="shared" si="0"/>
        <v>0.98843484965304551</v>
      </c>
      <c r="I7" s="3">
        <v>0</v>
      </c>
      <c r="J7">
        <v>854</v>
      </c>
      <c r="K7">
        <v>5</v>
      </c>
      <c r="L7">
        <v>3</v>
      </c>
      <c r="M7" s="17">
        <f t="shared" si="1"/>
        <v>0</v>
      </c>
      <c r="N7" s="3">
        <v>0</v>
      </c>
      <c r="O7">
        <v>661</v>
      </c>
      <c r="P7">
        <v>5</v>
      </c>
      <c r="Q7">
        <v>0</v>
      </c>
      <c r="R7" s="17">
        <f t="shared" si="2"/>
        <v>0</v>
      </c>
      <c r="S7" s="3">
        <v>0</v>
      </c>
      <c r="T7">
        <v>682</v>
      </c>
      <c r="U7">
        <v>9</v>
      </c>
      <c r="V7">
        <v>0</v>
      </c>
      <c r="W7" s="17">
        <f t="shared" si="3"/>
        <v>0</v>
      </c>
      <c r="X7" s="3">
        <v>0</v>
      </c>
      <c r="Y7">
        <v>645</v>
      </c>
      <c r="Z7">
        <v>10</v>
      </c>
      <c r="AA7">
        <v>1</v>
      </c>
      <c r="AB7" s="17">
        <f t="shared" si="4"/>
        <v>0</v>
      </c>
      <c r="AC7" s="3">
        <v>0</v>
      </c>
      <c r="AD7">
        <v>899</v>
      </c>
      <c r="AE7">
        <v>3</v>
      </c>
      <c r="AF7">
        <v>4</v>
      </c>
      <c r="AG7" s="17">
        <f t="shared" si="5"/>
        <v>0</v>
      </c>
      <c r="AH7" s="21">
        <f t="shared" si="6"/>
        <v>0.99842457660496253</v>
      </c>
    </row>
    <row r="8" spans="1:34" x14ac:dyDescent="0.2">
      <c r="A8" s="11" t="s">
        <v>232</v>
      </c>
      <c r="B8" s="11" t="s">
        <v>237</v>
      </c>
      <c r="C8" s="37">
        <v>2303608000</v>
      </c>
      <c r="D8" s="3">
        <v>0</v>
      </c>
      <c r="E8">
        <v>1078</v>
      </c>
      <c r="F8">
        <v>3</v>
      </c>
      <c r="G8">
        <v>216</v>
      </c>
      <c r="H8" s="17">
        <f t="shared" si="0"/>
        <v>0</v>
      </c>
      <c r="I8" s="3">
        <v>1</v>
      </c>
      <c r="J8">
        <v>693</v>
      </c>
      <c r="K8">
        <v>5</v>
      </c>
      <c r="L8">
        <v>163</v>
      </c>
      <c r="M8" s="17">
        <f t="shared" si="1"/>
        <v>1.4306151645207439E-3</v>
      </c>
      <c r="N8" s="3">
        <v>551</v>
      </c>
      <c r="O8">
        <v>1</v>
      </c>
      <c r="P8">
        <v>7</v>
      </c>
      <c r="Q8">
        <v>107</v>
      </c>
      <c r="R8" s="17">
        <f t="shared" si="2"/>
        <v>0.9856887298747764</v>
      </c>
      <c r="S8" s="3">
        <v>4</v>
      </c>
      <c r="T8">
        <v>571</v>
      </c>
      <c r="U8">
        <v>8</v>
      </c>
      <c r="V8">
        <v>108</v>
      </c>
      <c r="W8" s="17">
        <f t="shared" si="3"/>
        <v>6.8610634648370496E-3</v>
      </c>
      <c r="X8" s="3">
        <v>0</v>
      </c>
      <c r="Y8">
        <v>521</v>
      </c>
      <c r="Z8">
        <v>10</v>
      </c>
      <c r="AA8">
        <v>125</v>
      </c>
      <c r="AB8" s="17">
        <f t="shared" si="4"/>
        <v>0</v>
      </c>
      <c r="AC8" s="3">
        <v>0</v>
      </c>
      <c r="AD8">
        <v>746</v>
      </c>
      <c r="AE8">
        <v>3</v>
      </c>
      <c r="AF8">
        <v>157</v>
      </c>
      <c r="AG8" s="17">
        <f t="shared" si="5"/>
        <v>0</v>
      </c>
      <c r="AH8" s="21">
        <f t="shared" si="6"/>
        <v>0.82749113824340292</v>
      </c>
    </row>
    <row r="9" spans="1:34" x14ac:dyDescent="0.2">
      <c r="A9" s="11" t="s">
        <v>233</v>
      </c>
      <c r="B9" s="11" t="s">
        <v>125</v>
      </c>
      <c r="C9" s="37">
        <v>868758000</v>
      </c>
      <c r="D9" s="3">
        <v>0</v>
      </c>
      <c r="E9">
        <v>676</v>
      </c>
      <c r="F9">
        <v>3</v>
      </c>
      <c r="G9">
        <v>618</v>
      </c>
      <c r="H9" s="17">
        <f t="shared" si="0"/>
        <v>0</v>
      </c>
      <c r="I9" s="3">
        <v>2</v>
      </c>
      <c r="J9">
        <v>414</v>
      </c>
      <c r="K9">
        <v>4</v>
      </c>
      <c r="L9">
        <v>442</v>
      </c>
      <c r="M9" s="17">
        <f t="shared" si="1"/>
        <v>4.7619047619047623E-3</v>
      </c>
      <c r="N9" s="3">
        <v>1</v>
      </c>
      <c r="O9">
        <v>297</v>
      </c>
      <c r="P9">
        <v>8</v>
      </c>
      <c r="Q9">
        <v>360</v>
      </c>
      <c r="R9" s="17">
        <f t="shared" si="2"/>
        <v>3.2679738562091504E-3</v>
      </c>
      <c r="S9" s="3">
        <v>0</v>
      </c>
      <c r="T9">
        <v>325</v>
      </c>
      <c r="U9">
        <v>9</v>
      </c>
      <c r="V9">
        <v>357</v>
      </c>
      <c r="W9" s="17">
        <f t="shared" si="3"/>
        <v>0</v>
      </c>
      <c r="X9" s="3">
        <v>339</v>
      </c>
      <c r="Y9">
        <v>1</v>
      </c>
      <c r="Z9">
        <v>5</v>
      </c>
      <c r="AA9">
        <v>311</v>
      </c>
      <c r="AB9" s="17">
        <f t="shared" si="4"/>
        <v>0.9826086956521739</v>
      </c>
      <c r="AC9" s="3">
        <v>0</v>
      </c>
      <c r="AD9">
        <v>403</v>
      </c>
      <c r="AE9">
        <v>3</v>
      </c>
      <c r="AF9">
        <v>500</v>
      </c>
      <c r="AG9" s="17">
        <f t="shared" si="5"/>
        <v>0</v>
      </c>
      <c r="AH9" s="21">
        <f>SUM(D9:F9,I9:K9,N9:P9,S9:U9,X9:Z9,AC9:AE9)/SUM(D9:G9,I9:L9,N9:Q9,S9:V9,X9:AA9,AC9:AF9)</f>
        <v>0.49035053170539583</v>
      </c>
    </row>
    <row r="10" spans="1:34" x14ac:dyDescent="0.2">
      <c r="A10" s="11" t="s">
        <v>234</v>
      </c>
      <c r="B10" s="11" t="s">
        <v>124</v>
      </c>
      <c r="C10" s="37">
        <v>1824252600</v>
      </c>
      <c r="D10" s="3">
        <v>0</v>
      </c>
      <c r="E10">
        <v>1076</v>
      </c>
      <c r="F10">
        <v>4</v>
      </c>
      <c r="G10">
        <v>217</v>
      </c>
      <c r="H10" s="17">
        <f t="shared" si="0"/>
        <v>0</v>
      </c>
      <c r="I10" s="3">
        <v>2</v>
      </c>
      <c r="J10">
        <v>714</v>
      </c>
      <c r="K10">
        <v>4</v>
      </c>
      <c r="L10">
        <v>142</v>
      </c>
      <c r="M10" s="17">
        <f t="shared" si="1"/>
        <v>2.7777777777777779E-3</v>
      </c>
      <c r="N10" s="3">
        <v>552</v>
      </c>
      <c r="O10">
        <v>1</v>
      </c>
      <c r="P10">
        <v>8</v>
      </c>
      <c r="Q10">
        <v>105</v>
      </c>
      <c r="R10" s="17">
        <f t="shared" si="2"/>
        <v>0.98395721925133695</v>
      </c>
      <c r="S10" s="3">
        <v>2</v>
      </c>
      <c r="T10">
        <v>583</v>
      </c>
      <c r="U10">
        <v>8</v>
      </c>
      <c r="V10">
        <v>98</v>
      </c>
      <c r="W10" s="17">
        <f t="shared" si="3"/>
        <v>3.3726812816188868E-3</v>
      </c>
      <c r="X10" s="3">
        <v>0</v>
      </c>
      <c r="Y10">
        <v>532</v>
      </c>
      <c r="Z10">
        <v>11</v>
      </c>
      <c r="AA10">
        <v>113</v>
      </c>
      <c r="AB10" s="17">
        <f t="shared" si="4"/>
        <v>0</v>
      </c>
      <c r="AC10" s="3">
        <v>0</v>
      </c>
      <c r="AD10">
        <v>760</v>
      </c>
      <c r="AE10">
        <v>3</v>
      </c>
      <c r="AF10">
        <v>143</v>
      </c>
      <c r="AG10" s="17">
        <f t="shared" si="5"/>
        <v>0</v>
      </c>
      <c r="AH10" s="21">
        <f t="shared" si="6"/>
        <v>0.83891295785742415</v>
      </c>
    </row>
    <row r="11" spans="1:34" x14ac:dyDescent="0.2">
      <c r="A11" s="14" t="s">
        <v>235</v>
      </c>
      <c r="B11" s="14" t="s">
        <v>126</v>
      </c>
      <c r="C11" s="39">
        <v>4053807031</v>
      </c>
      <c r="D11" s="5">
        <v>0</v>
      </c>
      <c r="E11" s="6">
        <v>1279</v>
      </c>
      <c r="F11" s="6">
        <v>4</v>
      </c>
      <c r="G11" s="6">
        <v>14</v>
      </c>
      <c r="H11" s="18">
        <f t="shared" si="0"/>
        <v>0</v>
      </c>
      <c r="I11" s="5">
        <v>1</v>
      </c>
      <c r="J11" s="6">
        <v>835</v>
      </c>
      <c r="K11" s="6">
        <v>5</v>
      </c>
      <c r="L11" s="6">
        <v>21</v>
      </c>
      <c r="M11" s="18">
        <f t="shared" si="1"/>
        <v>1.1890606420927466E-3</v>
      </c>
      <c r="N11" s="5">
        <v>1</v>
      </c>
      <c r="O11" s="6">
        <v>647</v>
      </c>
      <c r="P11" s="6">
        <v>6</v>
      </c>
      <c r="Q11" s="6">
        <v>12</v>
      </c>
      <c r="R11" s="18">
        <f t="shared" si="2"/>
        <v>1.5290519877675841E-3</v>
      </c>
      <c r="S11" s="5">
        <v>664</v>
      </c>
      <c r="T11" s="6">
        <v>1</v>
      </c>
      <c r="U11" s="6">
        <v>9</v>
      </c>
      <c r="V11" s="6">
        <v>17</v>
      </c>
      <c r="W11" s="18">
        <f t="shared" si="3"/>
        <v>0.98516320474777452</v>
      </c>
      <c r="X11" s="5">
        <v>1</v>
      </c>
      <c r="Y11" s="6">
        <v>629</v>
      </c>
      <c r="Z11" s="6">
        <v>12</v>
      </c>
      <c r="AA11" s="6">
        <v>14</v>
      </c>
      <c r="AB11" s="18">
        <f t="shared" si="4"/>
        <v>1.557632398753894E-3</v>
      </c>
      <c r="AC11" s="5">
        <v>0</v>
      </c>
      <c r="AD11" s="6">
        <v>885</v>
      </c>
      <c r="AE11" s="6">
        <v>3</v>
      </c>
      <c r="AF11" s="6">
        <v>18</v>
      </c>
      <c r="AG11" s="18">
        <f t="shared" si="5"/>
        <v>0</v>
      </c>
      <c r="AH11" s="22">
        <f t="shared" si="6"/>
        <v>0.98109491925955106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66F2-0D06-6141-B3C0-24FF15235FF0}">
  <dimension ref="A1:AL56"/>
  <sheetViews>
    <sheetView tabSelected="1" topLeftCell="A18" workbookViewId="0">
      <selection activeCell="B1" sqref="B1:B1048576"/>
    </sheetView>
  </sheetViews>
  <sheetFormatPr baseColWidth="10" defaultRowHeight="16" x14ac:dyDescent="0.2"/>
  <cols>
    <col min="1" max="1" width="34.83203125" bestFit="1" customWidth="1"/>
    <col min="2" max="2" width="13.1640625" customWidth="1"/>
    <col min="3" max="3" width="16.1640625" customWidth="1"/>
    <col min="4" max="4" width="6" customWidth="1"/>
    <col min="5" max="5" width="8" customWidth="1"/>
    <col min="6" max="6" width="9.33203125" customWidth="1"/>
    <col min="7" max="7" width="10.83203125" customWidth="1"/>
    <col min="38" max="38" width="29.83203125" bestFit="1" customWidth="1"/>
  </cols>
  <sheetData>
    <row r="1" spans="1:38" x14ac:dyDescent="0.2">
      <c r="A1" s="8" t="s">
        <v>0</v>
      </c>
      <c r="B1" s="8" t="s">
        <v>68</v>
      </c>
      <c r="C1" s="8" t="s">
        <v>167</v>
      </c>
      <c r="D1" s="19" t="s">
        <v>168</v>
      </c>
      <c r="E1" s="9" t="s">
        <v>266</v>
      </c>
      <c r="F1" s="9" t="s">
        <v>268</v>
      </c>
      <c r="G1" s="10" t="s">
        <v>271</v>
      </c>
      <c r="H1" s="19" t="s">
        <v>1</v>
      </c>
      <c r="I1" s="9" t="s">
        <v>2</v>
      </c>
      <c r="J1" s="9" t="s">
        <v>3</v>
      </c>
      <c r="K1" s="9" t="s">
        <v>4</v>
      </c>
      <c r="L1" s="10" t="s">
        <v>272</v>
      </c>
      <c r="M1" s="19" t="s">
        <v>5</v>
      </c>
      <c r="N1" s="9" t="s">
        <v>6</v>
      </c>
      <c r="O1" s="9" t="s">
        <v>7</v>
      </c>
      <c r="P1" s="9" t="s">
        <v>8</v>
      </c>
      <c r="Q1" s="10" t="s">
        <v>273</v>
      </c>
      <c r="R1" s="19" t="s">
        <v>9</v>
      </c>
      <c r="S1" s="9" t="s">
        <v>10</v>
      </c>
      <c r="T1" s="9" t="s">
        <v>11</v>
      </c>
      <c r="U1" s="9" t="s">
        <v>12</v>
      </c>
      <c r="V1" s="10" t="s">
        <v>274</v>
      </c>
      <c r="W1" s="19" t="s">
        <v>13</v>
      </c>
      <c r="X1" s="9" t="s">
        <v>14</v>
      </c>
      <c r="Y1" s="9" t="s">
        <v>15</v>
      </c>
      <c r="Z1" s="9" t="s">
        <v>16</v>
      </c>
      <c r="AA1" s="10" t="s">
        <v>275</v>
      </c>
      <c r="AB1" s="19" t="s">
        <v>17</v>
      </c>
      <c r="AC1" s="9" t="s">
        <v>18</v>
      </c>
      <c r="AD1" s="9" t="s">
        <v>19</v>
      </c>
      <c r="AE1" s="9" t="s">
        <v>20</v>
      </c>
      <c r="AF1" s="10" t="s">
        <v>276</v>
      </c>
      <c r="AG1" s="19" t="s">
        <v>21</v>
      </c>
      <c r="AH1" s="9" t="s">
        <v>22</v>
      </c>
      <c r="AI1" s="9" t="s">
        <v>23</v>
      </c>
      <c r="AJ1" s="9" t="s">
        <v>24</v>
      </c>
      <c r="AK1" s="10" t="s">
        <v>277</v>
      </c>
      <c r="AL1" s="8" t="s">
        <v>278</v>
      </c>
    </row>
    <row r="2" spans="1:38" x14ac:dyDescent="0.2">
      <c r="A2" s="23" t="s">
        <v>170</v>
      </c>
      <c r="B2" s="24" t="s">
        <v>253</v>
      </c>
      <c r="C2" s="37">
        <v>10283630115</v>
      </c>
      <c r="D2" s="25" t="s">
        <v>171</v>
      </c>
      <c r="E2" s="12" t="s">
        <v>267</v>
      </c>
      <c r="F2" s="12" t="s">
        <v>269</v>
      </c>
      <c r="G2" s="13" t="s">
        <v>262</v>
      </c>
      <c r="H2" s="27">
        <v>0</v>
      </c>
      <c r="I2">
        <v>7</v>
      </c>
      <c r="J2">
        <v>7</v>
      </c>
      <c r="K2">
        <v>1283</v>
      </c>
      <c r="L2" s="17">
        <f>H2/(SUM(H2:J2))</f>
        <v>0</v>
      </c>
      <c r="M2" s="27">
        <v>0</v>
      </c>
      <c r="N2">
        <v>7</v>
      </c>
      <c r="O2">
        <v>5</v>
      </c>
      <c r="P2">
        <v>850</v>
      </c>
      <c r="Q2" s="17">
        <f>M2/(SUM(M2:O2))</f>
        <v>0</v>
      </c>
      <c r="R2" s="27">
        <v>0</v>
      </c>
      <c r="S2">
        <v>4</v>
      </c>
      <c r="T2">
        <v>9</v>
      </c>
      <c r="U2">
        <v>653</v>
      </c>
      <c r="V2" s="17">
        <f>R2/(SUM(R2:T2))</f>
        <v>0</v>
      </c>
      <c r="W2" s="27">
        <v>1</v>
      </c>
      <c r="X2">
        <v>3</v>
      </c>
      <c r="Y2">
        <v>3</v>
      </c>
      <c r="Z2">
        <v>684</v>
      </c>
      <c r="AA2" s="17">
        <f>W2/(SUM(W2:Y2))</f>
        <v>0.14285714285714285</v>
      </c>
      <c r="AB2" s="27">
        <v>4</v>
      </c>
      <c r="AC2">
        <v>0</v>
      </c>
      <c r="AD2">
        <v>6</v>
      </c>
      <c r="AE2">
        <v>646</v>
      </c>
      <c r="AF2" s="17">
        <f>AB2/(SUM(AB2:AD2))</f>
        <v>0.4</v>
      </c>
      <c r="AG2" s="27">
        <v>0</v>
      </c>
      <c r="AH2">
        <v>4</v>
      </c>
      <c r="AI2">
        <v>1</v>
      </c>
      <c r="AJ2">
        <v>901</v>
      </c>
      <c r="AK2" s="17">
        <f>AG2/(SUM(AG2:AI2))</f>
        <v>0</v>
      </c>
      <c r="AL2" s="23">
        <f>SUM(H2:J2,M2:O2,R2:T2,W2:Y2,AB2:AD2,AG2:AI2)/SUM(H2:K2,M2:P2,R2:U2,W2:Z2,AB2:AE2,AG2:AJ2)</f>
        <v>1.2012603387160299E-2</v>
      </c>
    </row>
    <row r="3" spans="1:38" x14ac:dyDescent="0.2">
      <c r="A3" s="23" t="s">
        <v>172</v>
      </c>
      <c r="B3" s="11" t="s">
        <v>255</v>
      </c>
      <c r="C3" s="37">
        <v>6558699398</v>
      </c>
      <c r="D3" s="25" t="s">
        <v>173</v>
      </c>
      <c r="E3" s="12" t="s">
        <v>267</v>
      </c>
      <c r="F3" s="12" t="s">
        <v>269</v>
      </c>
      <c r="G3" s="13" t="s">
        <v>262</v>
      </c>
      <c r="H3" s="27">
        <v>0</v>
      </c>
      <c r="I3">
        <v>3</v>
      </c>
      <c r="J3">
        <v>3</v>
      </c>
      <c r="K3">
        <v>1291</v>
      </c>
      <c r="L3" s="17">
        <f t="shared" ref="L3:L53" si="0">H3/(SUM(H3:J3))</f>
        <v>0</v>
      </c>
      <c r="M3" s="27">
        <v>1</v>
      </c>
      <c r="N3">
        <v>2</v>
      </c>
      <c r="O3">
        <v>3</v>
      </c>
      <c r="P3">
        <v>856</v>
      </c>
      <c r="Q3" s="17">
        <f t="shared" ref="Q3:Q53" si="1">M3/(SUM(M3:O3))</f>
        <v>0.16666666666666666</v>
      </c>
      <c r="R3" s="27">
        <v>0</v>
      </c>
      <c r="S3">
        <v>1</v>
      </c>
      <c r="T3">
        <v>5</v>
      </c>
      <c r="U3">
        <v>660</v>
      </c>
      <c r="V3" s="17">
        <f t="shared" ref="V3:V53" si="2">R3/(SUM(R3:T3))</f>
        <v>0</v>
      </c>
      <c r="W3" s="27">
        <v>0</v>
      </c>
      <c r="X3">
        <v>1</v>
      </c>
      <c r="Y3">
        <v>3</v>
      </c>
      <c r="Z3">
        <v>687</v>
      </c>
      <c r="AA3" s="17">
        <f t="shared" ref="AA3:AA53" si="3">W3/(SUM(W3:Y3))</f>
        <v>0</v>
      </c>
      <c r="AB3" s="27">
        <v>0</v>
      </c>
      <c r="AC3">
        <v>0</v>
      </c>
      <c r="AD3">
        <v>5</v>
      </c>
      <c r="AE3">
        <v>651</v>
      </c>
      <c r="AF3" s="17">
        <f t="shared" ref="AF3:AF53" si="4">AB3/(SUM(AB3:AD3))</f>
        <v>0</v>
      </c>
      <c r="AG3" s="27">
        <v>0</v>
      </c>
      <c r="AH3">
        <v>0</v>
      </c>
      <c r="AI3">
        <v>0</v>
      </c>
      <c r="AJ3">
        <v>906</v>
      </c>
      <c r="AK3" s="17" t="e">
        <f>AG3/(SUM(AG3:AI3))</f>
        <v>#DIV/0!</v>
      </c>
      <c r="AL3" s="23">
        <f t="shared" ref="AL3:AL53" si="5">SUM(H3:J3,M3:O3,R3:T3,W3:Y3,AB3:AD3,AG3:AI3)/SUM(H3:K3,M3:P3,R3:U3,W3:Z3,AB3:AE3,AG3:AJ3)</f>
        <v>5.3170539582512799E-3</v>
      </c>
    </row>
    <row r="4" spans="1:38" x14ac:dyDescent="0.2">
      <c r="A4" s="23" t="s">
        <v>174</v>
      </c>
      <c r="B4" s="11" t="s">
        <v>252</v>
      </c>
      <c r="C4" s="37">
        <v>11837454079</v>
      </c>
      <c r="D4" s="25" t="s">
        <v>175</v>
      </c>
      <c r="E4" s="12" t="s">
        <v>267</v>
      </c>
      <c r="F4" s="12" t="s">
        <v>269</v>
      </c>
      <c r="G4" s="13" t="s">
        <v>262</v>
      </c>
      <c r="H4" s="27">
        <v>0</v>
      </c>
      <c r="I4">
        <v>6</v>
      </c>
      <c r="J4">
        <v>4</v>
      </c>
      <c r="K4">
        <v>1287</v>
      </c>
      <c r="L4" s="17">
        <f t="shared" si="0"/>
        <v>0</v>
      </c>
      <c r="M4" s="27">
        <v>0</v>
      </c>
      <c r="N4">
        <v>4</v>
      </c>
      <c r="O4">
        <v>4</v>
      </c>
      <c r="P4">
        <v>854</v>
      </c>
      <c r="Q4" s="17">
        <f t="shared" si="1"/>
        <v>0</v>
      </c>
      <c r="R4" s="27">
        <v>1</v>
      </c>
      <c r="S4">
        <v>0</v>
      </c>
      <c r="T4">
        <v>7</v>
      </c>
      <c r="U4">
        <v>658</v>
      </c>
      <c r="V4" s="17">
        <f t="shared" si="2"/>
        <v>0.125</v>
      </c>
      <c r="W4" s="27">
        <v>0</v>
      </c>
      <c r="X4">
        <v>1</v>
      </c>
      <c r="Y4">
        <v>3</v>
      </c>
      <c r="Z4">
        <v>687</v>
      </c>
      <c r="AA4" s="17">
        <f t="shared" si="3"/>
        <v>0</v>
      </c>
      <c r="AB4" s="27">
        <v>1</v>
      </c>
      <c r="AC4">
        <v>4</v>
      </c>
      <c r="AD4">
        <v>5</v>
      </c>
      <c r="AE4">
        <v>646</v>
      </c>
      <c r="AF4" s="17">
        <f t="shared" si="4"/>
        <v>0.1</v>
      </c>
      <c r="AG4" s="27">
        <v>0</v>
      </c>
      <c r="AH4">
        <v>0</v>
      </c>
      <c r="AI4">
        <v>1</v>
      </c>
      <c r="AJ4">
        <v>905</v>
      </c>
      <c r="AK4" s="17">
        <f t="shared" ref="AK4:AK53" si="6">AG4/(SUM(AG4:AI4))</f>
        <v>0</v>
      </c>
      <c r="AL4" s="23">
        <f t="shared" si="5"/>
        <v>8.0740448995667586E-3</v>
      </c>
    </row>
    <row r="5" spans="1:38" x14ac:dyDescent="0.2">
      <c r="A5" s="11" t="s">
        <v>218</v>
      </c>
      <c r="B5" s="11" t="s">
        <v>219</v>
      </c>
      <c r="C5" s="37">
        <v>2432242500</v>
      </c>
      <c r="D5" s="25" t="s">
        <v>185</v>
      </c>
      <c r="E5" s="12" t="s">
        <v>267</v>
      </c>
      <c r="F5" s="12" t="s">
        <v>270</v>
      </c>
      <c r="G5" s="13" t="s">
        <v>169</v>
      </c>
      <c r="H5" s="27">
        <v>1127</v>
      </c>
      <c r="I5">
        <v>0</v>
      </c>
      <c r="J5">
        <v>15</v>
      </c>
      <c r="K5">
        <v>155</v>
      </c>
      <c r="L5" s="17">
        <f t="shared" si="0"/>
        <v>0.98686514886164622</v>
      </c>
      <c r="M5" s="27">
        <v>0</v>
      </c>
      <c r="N5">
        <v>753</v>
      </c>
      <c r="O5">
        <v>5</v>
      </c>
      <c r="P5">
        <v>114</v>
      </c>
      <c r="Q5" s="17">
        <f t="shared" si="1"/>
        <v>0</v>
      </c>
      <c r="R5" s="27">
        <v>0</v>
      </c>
      <c r="S5">
        <v>560</v>
      </c>
      <c r="T5">
        <v>5</v>
      </c>
      <c r="U5">
        <v>101</v>
      </c>
      <c r="V5" s="17">
        <f t="shared" si="2"/>
        <v>0</v>
      </c>
      <c r="W5" s="27">
        <v>0</v>
      </c>
      <c r="X5">
        <v>587</v>
      </c>
      <c r="Y5">
        <v>10</v>
      </c>
      <c r="Z5">
        <v>94</v>
      </c>
      <c r="AA5" s="17">
        <f t="shared" si="3"/>
        <v>0</v>
      </c>
      <c r="AB5" s="27">
        <v>0</v>
      </c>
      <c r="AC5">
        <v>570</v>
      </c>
      <c r="AD5">
        <v>11</v>
      </c>
      <c r="AE5">
        <v>75</v>
      </c>
      <c r="AF5" s="17">
        <f t="shared" si="4"/>
        <v>0</v>
      </c>
      <c r="AG5" s="27">
        <v>0</v>
      </c>
      <c r="AH5">
        <v>779</v>
      </c>
      <c r="AI5">
        <v>3</v>
      </c>
      <c r="AJ5">
        <v>124</v>
      </c>
      <c r="AK5" s="17">
        <f t="shared" si="6"/>
        <v>0</v>
      </c>
      <c r="AL5" s="23">
        <f t="shared" si="5"/>
        <v>0.86969339622641506</v>
      </c>
    </row>
    <row r="6" spans="1:38" x14ac:dyDescent="0.2">
      <c r="A6" s="11" t="s">
        <v>220</v>
      </c>
      <c r="B6" s="24" t="s">
        <v>221</v>
      </c>
      <c r="C6" s="37">
        <v>2131763368</v>
      </c>
      <c r="D6" s="25" t="s">
        <v>185</v>
      </c>
      <c r="E6" s="12" t="s">
        <v>267</v>
      </c>
      <c r="F6" s="12" t="s">
        <v>270</v>
      </c>
      <c r="G6" s="13" t="s">
        <v>169</v>
      </c>
      <c r="H6" s="27">
        <v>864</v>
      </c>
      <c r="I6">
        <v>0</v>
      </c>
      <c r="J6">
        <v>14</v>
      </c>
      <c r="K6">
        <v>419</v>
      </c>
      <c r="L6" s="17">
        <f t="shared" si="0"/>
        <v>0.98405466970387245</v>
      </c>
      <c r="M6" s="27">
        <v>1</v>
      </c>
      <c r="N6">
        <v>563</v>
      </c>
      <c r="O6">
        <v>3</v>
      </c>
      <c r="P6">
        <v>295</v>
      </c>
      <c r="Q6" s="17">
        <f t="shared" si="1"/>
        <v>1.7636684303350969E-3</v>
      </c>
      <c r="R6" s="27">
        <v>0</v>
      </c>
      <c r="S6">
        <v>466</v>
      </c>
      <c r="T6">
        <v>6</v>
      </c>
      <c r="U6">
        <v>194</v>
      </c>
      <c r="V6" s="17">
        <f t="shared" si="2"/>
        <v>0</v>
      </c>
      <c r="W6" s="27">
        <v>0</v>
      </c>
      <c r="X6">
        <v>487</v>
      </c>
      <c r="Y6">
        <v>9</v>
      </c>
      <c r="Z6">
        <v>195</v>
      </c>
      <c r="AA6" s="17">
        <f t="shared" si="3"/>
        <v>0</v>
      </c>
      <c r="AB6" s="27">
        <v>0</v>
      </c>
      <c r="AC6">
        <v>438</v>
      </c>
      <c r="AD6">
        <v>12</v>
      </c>
      <c r="AE6">
        <v>206</v>
      </c>
      <c r="AF6" s="17">
        <f t="shared" si="4"/>
        <v>0</v>
      </c>
      <c r="AG6" s="27">
        <v>0</v>
      </c>
      <c r="AH6">
        <v>633</v>
      </c>
      <c r="AI6">
        <v>3</v>
      </c>
      <c r="AJ6">
        <v>270</v>
      </c>
      <c r="AK6" s="17">
        <f t="shared" si="6"/>
        <v>0</v>
      </c>
      <c r="AL6" s="23">
        <f t="shared" si="5"/>
        <v>0.68905080740448998</v>
      </c>
    </row>
    <row r="7" spans="1:38" x14ac:dyDescent="0.2">
      <c r="A7" s="11" t="s">
        <v>222</v>
      </c>
      <c r="B7" s="11" t="s">
        <v>223</v>
      </c>
      <c r="C7" s="37">
        <v>1877550639</v>
      </c>
      <c r="D7" s="25" t="s">
        <v>185</v>
      </c>
      <c r="E7" s="12" t="s">
        <v>267</v>
      </c>
      <c r="F7" s="12" t="s">
        <v>270</v>
      </c>
      <c r="G7" s="13" t="s">
        <v>169</v>
      </c>
      <c r="H7" s="27">
        <v>1233</v>
      </c>
      <c r="I7">
        <v>0</v>
      </c>
      <c r="J7">
        <v>15</v>
      </c>
      <c r="K7">
        <v>49</v>
      </c>
      <c r="L7" s="17">
        <f t="shared" si="0"/>
        <v>0.98798076923076927</v>
      </c>
      <c r="M7" s="27">
        <v>0</v>
      </c>
      <c r="N7">
        <v>823</v>
      </c>
      <c r="O7">
        <v>5</v>
      </c>
      <c r="P7">
        <v>34</v>
      </c>
      <c r="Q7" s="17">
        <f t="shared" si="1"/>
        <v>0</v>
      </c>
      <c r="R7" s="27">
        <v>0</v>
      </c>
      <c r="S7">
        <v>637</v>
      </c>
      <c r="T7">
        <v>6</v>
      </c>
      <c r="U7">
        <v>23</v>
      </c>
      <c r="V7" s="17">
        <f t="shared" si="2"/>
        <v>0</v>
      </c>
      <c r="W7" s="27">
        <v>0</v>
      </c>
      <c r="X7">
        <v>662</v>
      </c>
      <c r="Y7">
        <v>10</v>
      </c>
      <c r="Z7">
        <v>19</v>
      </c>
      <c r="AA7" s="17">
        <f t="shared" si="3"/>
        <v>0</v>
      </c>
      <c r="AB7" s="27">
        <v>0</v>
      </c>
      <c r="AC7">
        <v>621</v>
      </c>
      <c r="AD7">
        <v>10</v>
      </c>
      <c r="AE7">
        <v>25</v>
      </c>
      <c r="AF7" s="17">
        <f t="shared" si="4"/>
        <v>0</v>
      </c>
      <c r="AG7" s="27">
        <v>0</v>
      </c>
      <c r="AH7">
        <v>870</v>
      </c>
      <c r="AI7">
        <v>3</v>
      </c>
      <c r="AJ7">
        <v>33</v>
      </c>
      <c r="AK7" s="17">
        <f t="shared" si="6"/>
        <v>0</v>
      </c>
      <c r="AL7" s="23">
        <f t="shared" si="5"/>
        <v>0.96396218983851911</v>
      </c>
    </row>
    <row r="8" spans="1:38" x14ac:dyDescent="0.2">
      <c r="A8" s="11" t="s">
        <v>224</v>
      </c>
      <c r="B8" s="11" t="s">
        <v>225</v>
      </c>
      <c r="C8" s="37">
        <v>1950378277</v>
      </c>
      <c r="D8" s="25" t="s">
        <v>185</v>
      </c>
      <c r="E8" s="12" t="s">
        <v>267</v>
      </c>
      <c r="F8" s="12" t="s">
        <v>270</v>
      </c>
      <c r="G8" s="13" t="s">
        <v>169</v>
      </c>
      <c r="H8" s="27">
        <v>1257</v>
      </c>
      <c r="I8">
        <v>0</v>
      </c>
      <c r="J8">
        <v>15</v>
      </c>
      <c r="K8">
        <v>25</v>
      </c>
      <c r="L8" s="17">
        <f t="shared" si="0"/>
        <v>0.9882075471698113</v>
      </c>
      <c r="M8" s="27">
        <v>0</v>
      </c>
      <c r="N8">
        <v>849</v>
      </c>
      <c r="O8">
        <v>5</v>
      </c>
      <c r="P8">
        <v>8</v>
      </c>
      <c r="Q8" s="17">
        <f t="shared" si="1"/>
        <v>0</v>
      </c>
      <c r="R8" s="27">
        <v>0</v>
      </c>
      <c r="S8">
        <v>652</v>
      </c>
      <c r="T8">
        <v>6</v>
      </c>
      <c r="U8">
        <v>8</v>
      </c>
      <c r="V8" s="17">
        <f t="shared" si="2"/>
        <v>0</v>
      </c>
      <c r="W8" s="27">
        <v>0</v>
      </c>
      <c r="X8">
        <v>674</v>
      </c>
      <c r="Y8">
        <v>9</v>
      </c>
      <c r="Z8">
        <v>8</v>
      </c>
      <c r="AA8" s="17">
        <f t="shared" si="3"/>
        <v>0</v>
      </c>
      <c r="AB8" s="27">
        <v>0</v>
      </c>
      <c r="AC8">
        <v>635</v>
      </c>
      <c r="AD8">
        <v>11</v>
      </c>
      <c r="AE8">
        <v>10</v>
      </c>
      <c r="AF8" s="17">
        <f t="shared" si="4"/>
        <v>0</v>
      </c>
      <c r="AG8" s="27">
        <v>0</v>
      </c>
      <c r="AH8">
        <v>886</v>
      </c>
      <c r="AI8">
        <v>3</v>
      </c>
      <c r="AJ8">
        <v>17</v>
      </c>
      <c r="AK8" s="17">
        <f t="shared" si="6"/>
        <v>0</v>
      </c>
      <c r="AL8" s="23">
        <f t="shared" si="5"/>
        <v>0.98503347774714456</v>
      </c>
    </row>
    <row r="9" spans="1:38" x14ac:dyDescent="0.2">
      <c r="A9" s="11" t="s">
        <v>176</v>
      </c>
      <c r="B9" s="11" t="s">
        <v>164</v>
      </c>
      <c r="C9" s="37">
        <v>4000260800</v>
      </c>
      <c r="D9" s="25" t="s">
        <v>175</v>
      </c>
      <c r="E9" s="12" t="s">
        <v>217</v>
      </c>
      <c r="F9" s="12" t="s">
        <v>270</v>
      </c>
      <c r="G9" s="13" t="s">
        <v>177</v>
      </c>
      <c r="H9" s="27">
        <v>0</v>
      </c>
      <c r="I9">
        <v>810</v>
      </c>
      <c r="J9">
        <v>3</v>
      </c>
      <c r="K9">
        <v>484</v>
      </c>
      <c r="L9" s="17">
        <f t="shared" si="0"/>
        <v>0</v>
      </c>
      <c r="M9" s="27">
        <v>3</v>
      </c>
      <c r="N9">
        <v>542</v>
      </c>
      <c r="O9">
        <v>2</v>
      </c>
      <c r="P9">
        <v>315</v>
      </c>
      <c r="Q9" s="17">
        <f t="shared" si="1"/>
        <v>5.4844606946983544E-3</v>
      </c>
      <c r="R9" s="27">
        <v>435</v>
      </c>
      <c r="S9">
        <v>1</v>
      </c>
      <c r="T9">
        <v>5</v>
      </c>
      <c r="U9">
        <v>225</v>
      </c>
      <c r="V9" s="17">
        <f t="shared" si="2"/>
        <v>0.98639455782312924</v>
      </c>
      <c r="W9" s="27">
        <v>3</v>
      </c>
      <c r="X9">
        <v>428</v>
      </c>
      <c r="Y9">
        <v>5</v>
      </c>
      <c r="Z9">
        <v>255</v>
      </c>
      <c r="AA9" s="17">
        <f t="shared" si="3"/>
        <v>6.8807339449541288E-3</v>
      </c>
      <c r="AB9" s="27">
        <v>0</v>
      </c>
      <c r="AC9">
        <v>409</v>
      </c>
      <c r="AD9">
        <v>8</v>
      </c>
      <c r="AE9">
        <v>239</v>
      </c>
      <c r="AF9" s="17">
        <f t="shared" si="4"/>
        <v>0</v>
      </c>
      <c r="AG9" s="27">
        <v>0</v>
      </c>
      <c r="AH9">
        <v>597</v>
      </c>
      <c r="AI9">
        <v>3</v>
      </c>
      <c r="AJ9">
        <v>306</v>
      </c>
      <c r="AK9" s="17">
        <f t="shared" si="6"/>
        <v>0</v>
      </c>
      <c r="AL9" s="23">
        <f t="shared" si="5"/>
        <v>0.64080346593146909</v>
      </c>
    </row>
    <row r="10" spans="1:38" x14ac:dyDescent="0.2">
      <c r="A10" s="23" t="s">
        <v>178</v>
      </c>
      <c r="B10" s="11" t="s">
        <v>163</v>
      </c>
      <c r="C10" s="37">
        <v>6068454900</v>
      </c>
      <c r="D10" s="25" t="s">
        <v>175</v>
      </c>
      <c r="E10" s="12" t="s">
        <v>217</v>
      </c>
      <c r="F10" s="12" t="s">
        <v>270</v>
      </c>
      <c r="G10" s="13" t="s">
        <v>169</v>
      </c>
      <c r="H10" s="27">
        <v>0</v>
      </c>
      <c r="I10">
        <v>66</v>
      </c>
      <c r="J10">
        <v>2</v>
      </c>
      <c r="K10">
        <v>1229</v>
      </c>
      <c r="L10" s="17">
        <f t="shared" si="0"/>
        <v>0</v>
      </c>
      <c r="M10" s="27">
        <v>1</v>
      </c>
      <c r="N10">
        <v>38</v>
      </c>
      <c r="O10">
        <v>2</v>
      </c>
      <c r="P10">
        <v>821</v>
      </c>
      <c r="Q10" s="17">
        <f t="shared" si="1"/>
        <v>2.4390243902439025E-2</v>
      </c>
      <c r="R10" s="27">
        <v>40</v>
      </c>
      <c r="S10">
        <v>0</v>
      </c>
      <c r="T10">
        <v>9</v>
      </c>
      <c r="U10">
        <v>617</v>
      </c>
      <c r="V10" s="17">
        <f t="shared" si="2"/>
        <v>0.81632653061224492</v>
      </c>
      <c r="W10" s="27">
        <v>0</v>
      </c>
      <c r="X10">
        <v>42</v>
      </c>
      <c r="Y10">
        <v>7</v>
      </c>
      <c r="Z10">
        <v>642</v>
      </c>
      <c r="AA10" s="17">
        <f t="shared" si="3"/>
        <v>0</v>
      </c>
      <c r="AB10" s="27">
        <v>0</v>
      </c>
      <c r="AC10">
        <v>41</v>
      </c>
      <c r="AD10">
        <v>8</v>
      </c>
      <c r="AE10">
        <v>607</v>
      </c>
      <c r="AF10" s="17">
        <f t="shared" si="4"/>
        <v>0</v>
      </c>
      <c r="AG10" s="27">
        <v>0</v>
      </c>
      <c r="AH10">
        <v>51</v>
      </c>
      <c r="AI10">
        <v>2</v>
      </c>
      <c r="AJ10">
        <v>853</v>
      </c>
      <c r="AK10" s="17">
        <f t="shared" si="6"/>
        <v>0</v>
      </c>
      <c r="AL10" s="23">
        <f t="shared" si="5"/>
        <v>6.0850728633320202E-2</v>
      </c>
    </row>
    <row r="11" spans="1:38" x14ac:dyDescent="0.2">
      <c r="A11" s="11" t="s">
        <v>179</v>
      </c>
      <c r="B11" s="11" t="s">
        <v>162</v>
      </c>
      <c r="C11" s="37">
        <v>2444776950</v>
      </c>
      <c r="D11" s="25" t="s">
        <v>175</v>
      </c>
      <c r="E11" s="12" t="s">
        <v>217</v>
      </c>
      <c r="F11" s="12" t="s">
        <v>270</v>
      </c>
      <c r="G11" s="13" t="s">
        <v>169</v>
      </c>
      <c r="H11" s="27">
        <v>0</v>
      </c>
      <c r="I11">
        <v>1180</v>
      </c>
      <c r="J11">
        <v>101</v>
      </c>
      <c r="K11">
        <v>16</v>
      </c>
      <c r="L11" s="17">
        <f t="shared" si="0"/>
        <v>0</v>
      </c>
      <c r="M11" s="27">
        <v>1</v>
      </c>
      <c r="N11">
        <v>835</v>
      </c>
      <c r="O11">
        <v>5</v>
      </c>
      <c r="P11">
        <v>21</v>
      </c>
      <c r="Q11" s="17">
        <f t="shared" si="1"/>
        <v>1.1890606420927466E-3</v>
      </c>
      <c r="R11" s="27">
        <v>594</v>
      </c>
      <c r="S11">
        <v>1</v>
      </c>
      <c r="T11">
        <v>56</v>
      </c>
      <c r="U11">
        <v>15</v>
      </c>
      <c r="V11" s="17">
        <f t="shared" si="2"/>
        <v>0.9124423963133641</v>
      </c>
      <c r="W11" s="27">
        <v>3</v>
      </c>
      <c r="X11">
        <v>662</v>
      </c>
      <c r="Y11">
        <v>9</v>
      </c>
      <c r="Z11">
        <v>17</v>
      </c>
      <c r="AA11" s="17">
        <f t="shared" si="3"/>
        <v>4.4510385756676559E-3</v>
      </c>
      <c r="AB11" s="27">
        <v>0</v>
      </c>
      <c r="AC11">
        <v>628</v>
      </c>
      <c r="AD11">
        <v>11</v>
      </c>
      <c r="AE11">
        <v>17</v>
      </c>
      <c r="AF11" s="17">
        <f t="shared" si="4"/>
        <v>0</v>
      </c>
      <c r="AG11" s="27">
        <v>0</v>
      </c>
      <c r="AH11">
        <v>884</v>
      </c>
      <c r="AI11">
        <v>3</v>
      </c>
      <c r="AJ11">
        <v>19</v>
      </c>
      <c r="AK11" s="17">
        <f t="shared" si="6"/>
        <v>0</v>
      </c>
      <c r="AL11" s="23">
        <f t="shared" si="5"/>
        <v>0.97932256794013395</v>
      </c>
    </row>
    <row r="12" spans="1:38" x14ac:dyDescent="0.2">
      <c r="A12" s="23" t="s">
        <v>180</v>
      </c>
      <c r="B12" s="11" t="s">
        <v>161</v>
      </c>
      <c r="C12" s="37">
        <v>2287179450</v>
      </c>
      <c r="D12" s="25" t="s">
        <v>175</v>
      </c>
      <c r="E12" s="12" t="s">
        <v>217</v>
      </c>
      <c r="F12" s="12" t="s">
        <v>270</v>
      </c>
      <c r="G12" s="13" t="s">
        <v>169</v>
      </c>
      <c r="H12" s="27">
        <v>0</v>
      </c>
      <c r="I12">
        <v>1168</v>
      </c>
      <c r="J12">
        <v>118</v>
      </c>
      <c r="K12">
        <v>11</v>
      </c>
      <c r="L12" s="17">
        <f t="shared" si="0"/>
        <v>0</v>
      </c>
      <c r="M12" s="27">
        <v>1</v>
      </c>
      <c r="N12">
        <v>836</v>
      </c>
      <c r="O12">
        <v>5</v>
      </c>
      <c r="P12">
        <v>20</v>
      </c>
      <c r="Q12" s="17">
        <f t="shared" si="1"/>
        <v>1.1876484560570072E-3</v>
      </c>
      <c r="R12" s="27">
        <v>578</v>
      </c>
      <c r="S12">
        <v>1</v>
      </c>
      <c r="T12">
        <v>74</v>
      </c>
      <c r="U12">
        <v>13</v>
      </c>
      <c r="V12" s="17">
        <f t="shared" si="2"/>
        <v>0.88514548238897395</v>
      </c>
      <c r="W12" s="27">
        <v>3</v>
      </c>
      <c r="X12">
        <v>662</v>
      </c>
      <c r="Y12">
        <v>9</v>
      </c>
      <c r="Z12">
        <v>17</v>
      </c>
      <c r="AA12" s="17">
        <f t="shared" si="3"/>
        <v>4.4510385756676559E-3</v>
      </c>
      <c r="AB12" s="27">
        <v>0</v>
      </c>
      <c r="AC12">
        <v>629</v>
      </c>
      <c r="AD12">
        <v>11</v>
      </c>
      <c r="AE12">
        <v>16</v>
      </c>
      <c r="AF12" s="17">
        <f t="shared" si="4"/>
        <v>0</v>
      </c>
      <c r="AG12" s="27">
        <v>0</v>
      </c>
      <c r="AH12">
        <v>887</v>
      </c>
      <c r="AI12">
        <v>3</v>
      </c>
      <c r="AJ12">
        <v>16</v>
      </c>
      <c r="AK12" s="17">
        <f t="shared" si="6"/>
        <v>0</v>
      </c>
      <c r="AL12" s="23">
        <f t="shared" si="5"/>
        <v>0.98168570303268998</v>
      </c>
    </row>
    <row r="13" spans="1:38" x14ac:dyDescent="0.2">
      <c r="A13" s="23" t="s">
        <v>181</v>
      </c>
      <c r="B13" s="11" t="s">
        <v>256</v>
      </c>
      <c r="C13" s="37">
        <v>3943295287</v>
      </c>
      <c r="D13" s="25" t="s">
        <v>182</v>
      </c>
      <c r="E13" s="12" t="s">
        <v>267</v>
      </c>
      <c r="F13" s="12" t="s">
        <v>269</v>
      </c>
      <c r="G13" s="13" t="s">
        <v>262</v>
      </c>
      <c r="H13" s="27">
        <v>0</v>
      </c>
      <c r="I13">
        <v>6</v>
      </c>
      <c r="J13">
        <v>3</v>
      </c>
      <c r="K13">
        <v>1288</v>
      </c>
      <c r="L13" s="17">
        <f t="shared" si="0"/>
        <v>0</v>
      </c>
      <c r="M13" s="27">
        <v>2</v>
      </c>
      <c r="N13">
        <v>1</v>
      </c>
      <c r="O13">
        <v>4</v>
      </c>
      <c r="P13">
        <v>855</v>
      </c>
      <c r="Q13" s="17">
        <f t="shared" si="1"/>
        <v>0.2857142857142857</v>
      </c>
      <c r="R13" s="27">
        <v>0</v>
      </c>
      <c r="S13">
        <v>3</v>
      </c>
      <c r="T13">
        <v>6</v>
      </c>
      <c r="U13">
        <v>657</v>
      </c>
      <c r="V13" s="17">
        <f t="shared" si="2"/>
        <v>0</v>
      </c>
      <c r="W13" s="27">
        <v>0</v>
      </c>
      <c r="X13">
        <v>2</v>
      </c>
      <c r="Y13">
        <v>4</v>
      </c>
      <c r="Z13">
        <v>685</v>
      </c>
      <c r="AA13" s="17">
        <f t="shared" si="3"/>
        <v>0</v>
      </c>
      <c r="AB13" s="27">
        <v>1</v>
      </c>
      <c r="AC13">
        <v>3</v>
      </c>
      <c r="AD13">
        <v>6</v>
      </c>
      <c r="AE13">
        <v>646</v>
      </c>
      <c r="AF13" s="17">
        <f t="shared" si="4"/>
        <v>0.1</v>
      </c>
      <c r="AG13" s="27">
        <v>0</v>
      </c>
      <c r="AH13">
        <v>2</v>
      </c>
      <c r="AI13">
        <v>1</v>
      </c>
      <c r="AJ13">
        <v>903</v>
      </c>
      <c r="AK13" s="17">
        <f t="shared" si="6"/>
        <v>0</v>
      </c>
      <c r="AL13" s="23">
        <f t="shared" si="5"/>
        <v>8.6648286727057898E-3</v>
      </c>
    </row>
    <row r="14" spans="1:38" x14ac:dyDescent="0.2">
      <c r="A14" s="23" t="s">
        <v>183</v>
      </c>
      <c r="B14" s="11" t="s">
        <v>254</v>
      </c>
      <c r="C14" s="37">
        <v>6386894031</v>
      </c>
      <c r="D14" s="25" t="s">
        <v>182</v>
      </c>
      <c r="E14" s="12" t="s">
        <v>267</v>
      </c>
      <c r="F14" s="12" t="s">
        <v>269</v>
      </c>
      <c r="G14" s="13" t="s">
        <v>262</v>
      </c>
      <c r="H14" s="27">
        <v>0</v>
      </c>
      <c r="I14">
        <v>8</v>
      </c>
      <c r="J14">
        <v>4</v>
      </c>
      <c r="K14">
        <v>1285</v>
      </c>
      <c r="L14" s="17">
        <f t="shared" si="0"/>
        <v>0</v>
      </c>
      <c r="M14" s="27">
        <v>1</v>
      </c>
      <c r="N14">
        <v>2</v>
      </c>
      <c r="O14">
        <v>5</v>
      </c>
      <c r="P14">
        <v>854</v>
      </c>
      <c r="Q14" s="17">
        <f t="shared" si="1"/>
        <v>0.125</v>
      </c>
      <c r="R14" s="27">
        <v>0</v>
      </c>
      <c r="S14">
        <v>4</v>
      </c>
      <c r="T14">
        <v>6</v>
      </c>
      <c r="U14">
        <v>656</v>
      </c>
      <c r="V14" s="17">
        <f t="shared" si="2"/>
        <v>0</v>
      </c>
      <c r="W14" s="27">
        <v>0</v>
      </c>
      <c r="X14">
        <v>2</v>
      </c>
      <c r="Y14">
        <v>6</v>
      </c>
      <c r="Z14">
        <v>683</v>
      </c>
      <c r="AA14" s="17">
        <f t="shared" si="3"/>
        <v>0</v>
      </c>
      <c r="AB14" s="27">
        <v>1</v>
      </c>
      <c r="AC14">
        <v>1</v>
      </c>
      <c r="AD14">
        <v>8</v>
      </c>
      <c r="AE14">
        <v>646</v>
      </c>
      <c r="AF14" s="17">
        <f t="shared" si="4"/>
        <v>0.1</v>
      </c>
      <c r="AG14" s="27">
        <v>0</v>
      </c>
      <c r="AH14">
        <v>3</v>
      </c>
      <c r="AI14">
        <v>0</v>
      </c>
      <c r="AJ14">
        <v>903</v>
      </c>
      <c r="AK14" s="17">
        <f t="shared" si="6"/>
        <v>0</v>
      </c>
      <c r="AL14" s="23">
        <f t="shared" si="5"/>
        <v>1.0043324143363529E-2</v>
      </c>
    </row>
    <row r="15" spans="1:38" x14ac:dyDescent="0.2">
      <c r="A15" s="23" t="s">
        <v>184</v>
      </c>
      <c r="B15" s="11" t="s">
        <v>160</v>
      </c>
      <c r="C15" s="37">
        <v>7223840218</v>
      </c>
      <c r="D15" s="25" t="s">
        <v>185</v>
      </c>
      <c r="E15" s="12" t="s">
        <v>267</v>
      </c>
      <c r="F15" s="12" t="s">
        <v>269</v>
      </c>
      <c r="G15" s="13" t="s">
        <v>263</v>
      </c>
      <c r="H15" s="27">
        <v>1</v>
      </c>
      <c r="I15">
        <v>1</v>
      </c>
      <c r="J15">
        <v>5</v>
      </c>
      <c r="K15">
        <v>1290</v>
      </c>
      <c r="L15" s="17">
        <f t="shared" si="0"/>
        <v>0.14285714285714285</v>
      </c>
      <c r="M15" s="27">
        <v>1</v>
      </c>
      <c r="N15">
        <v>5</v>
      </c>
      <c r="O15">
        <v>3</v>
      </c>
      <c r="P15">
        <v>853</v>
      </c>
      <c r="Q15" s="17">
        <f t="shared" si="1"/>
        <v>0.1111111111111111</v>
      </c>
      <c r="R15" s="27">
        <v>0</v>
      </c>
      <c r="S15">
        <v>2</v>
      </c>
      <c r="T15">
        <v>5</v>
      </c>
      <c r="U15">
        <v>659</v>
      </c>
      <c r="V15" s="17">
        <f t="shared" si="2"/>
        <v>0</v>
      </c>
      <c r="W15" s="27">
        <v>0</v>
      </c>
      <c r="X15">
        <v>2</v>
      </c>
      <c r="Y15">
        <v>3</v>
      </c>
      <c r="Z15">
        <v>686</v>
      </c>
      <c r="AA15" s="17">
        <f t="shared" si="3"/>
        <v>0</v>
      </c>
      <c r="AB15" s="27">
        <v>1</v>
      </c>
      <c r="AC15">
        <v>2</v>
      </c>
      <c r="AD15">
        <v>6</v>
      </c>
      <c r="AE15">
        <v>647</v>
      </c>
      <c r="AF15" s="17">
        <f t="shared" si="4"/>
        <v>0.1111111111111111</v>
      </c>
      <c r="AG15" s="27">
        <v>0</v>
      </c>
      <c r="AH15">
        <v>2</v>
      </c>
      <c r="AI15">
        <v>0</v>
      </c>
      <c r="AJ15">
        <v>904</v>
      </c>
      <c r="AK15" s="17">
        <f t="shared" si="6"/>
        <v>0</v>
      </c>
      <c r="AL15" s="23">
        <f t="shared" si="5"/>
        <v>7.6801890508074048E-3</v>
      </c>
    </row>
    <row r="16" spans="1:38" x14ac:dyDescent="0.2">
      <c r="A16" s="23" t="s">
        <v>186</v>
      </c>
      <c r="B16" s="11" t="s">
        <v>251</v>
      </c>
      <c r="C16" s="37">
        <v>14181269970</v>
      </c>
      <c r="D16" s="25" t="s">
        <v>185</v>
      </c>
      <c r="E16" s="12" t="s">
        <v>267</v>
      </c>
      <c r="F16" s="12" t="s">
        <v>269</v>
      </c>
      <c r="G16" s="13" t="s">
        <v>262</v>
      </c>
      <c r="H16" s="27">
        <v>1</v>
      </c>
      <c r="I16">
        <v>1</v>
      </c>
      <c r="J16">
        <v>6</v>
      </c>
      <c r="K16">
        <v>1289</v>
      </c>
      <c r="L16" s="17">
        <f t="shared" si="0"/>
        <v>0.125</v>
      </c>
      <c r="M16" s="27">
        <v>2</v>
      </c>
      <c r="N16">
        <v>1</v>
      </c>
      <c r="O16">
        <v>3</v>
      </c>
      <c r="P16">
        <v>856</v>
      </c>
      <c r="Q16" s="17">
        <f t="shared" si="1"/>
        <v>0.33333333333333331</v>
      </c>
      <c r="R16" s="27">
        <v>0</v>
      </c>
      <c r="S16">
        <v>0</v>
      </c>
      <c r="T16">
        <v>7</v>
      </c>
      <c r="U16">
        <v>659</v>
      </c>
      <c r="V16" s="17">
        <f t="shared" si="2"/>
        <v>0</v>
      </c>
      <c r="W16" s="27">
        <v>0</v>
      </c>
      <c r="X16">
        <v>0</v>
      </c>
      <c r="Y16">
        <v>3</v>
      </c>
      <c r="Z16">
        <v>688</v>
      </c>
      <c r="AA16" s="17">
        <f t="shared" si="3"/>
        <v>0</v>
      </c>
      <c r="AB16" s="27">
        <v>1</v>
      </c>
      <c r="AC16">
        <v>1</v>
      </c>
      <c r="AD16">
        <v>3</v>
      </c>
      <c r="AE16">
        <v>651</v>
      </c>
      <c r="AF16" s="17">
        <f t="shared" si="4"/>
        <v>0.2</v>
      </c>
      <c r="AG16" s="27">
        <v>0</v>
      </c>
      <c r="AH16">
        <v>0</v>
      </c>
      <c r="AI16">
        <v>0</v>
      </c>
      <c r="AJ16">
        <v>906</v>
      </c>
      <c r="AK16" s="17" t="e">
        <f t="shared" si="6"/>
        <v>#DIV/0!</v>
      </c>
      <c r="AL16" s="23">
        <f t="shared" si="5"/>
        <v>5.7109098070106338E-3</v>
      </c>
    </row>
    <row r="17" spans="1:38" x14ac:dyDescent="0.2">
      <c r="A17" s="11" t="s">
        <v>187</v>
      </c>
      <c r="B17" s="11" t="s">
        <v>159</v>
      </c>
      <c r="C17" s="37">
        <v>1069748579</v>
      </c>
      <c r="D17" s="25" t="s">
        <v>185</v>
      </c>
      <c r="E17" s="12" t="s">
        <v>267</v>
      </c>
      <c r="F17" s="12" t="s">
        <v>269</v>
      </c>
      <c r="G17" s="13" t="s">
        <v>264</v>
      </c>
      <c r="H17" s="27">
        <v>306</v>
      </c>
      <c r="I17">
        <v>1</v>
      </c>
      <c r="J17">
        <v>17</v>
      </c>
      <c r="K17">
        <v>973</v>
      </c>
      <c r="L17" s="17">
        <f t="shared" si="0"/>
        <v>0.94444444444444442</v>
      </c>
      <c r="M17" s="27">
        <v>0</v>
      </c>
      <c r="N17">
        <v>232</v>
      </c>
      <c r="O17">
        <v>4</v>
      </c>
      <c r="P17">
        <v>626</v>
      </c>
      <c r="Q17" s="17">
        <f t="shared" si="1"/>
        <v>0</v>
      </c>
      <c r="R17" s="27">
        <v>1</v>
      </c>
      <c r="S17">
        <v>163</v>
      </c>
      <c r="T17">
        <v>4</v>
      </c>
      <c r="U17">
        <v>498</v>
      </c>
      <c r="V17" s="17">
        <f t="shared" si="2"/>
        <v>5.9523809523809521E-3</v>
      </c>
      <c r="W17" s="27">
        <v>0</v>
      </c>
      <c r="X17">
        <v>182</v>
      </c>
      <c r="Y17">
        <v>9</v>
      </c>
      <c r="Z17">
        <v>500</v>
      </c>
      <c r="AA17" s="17">
        <f t="shared" si="3"/>
        <v>0</v>
      </c>
      <c r="AB17" s="27">
        <v>0</v>
      </c>
      <c r="AC17">
        <v>173</v>
      </c>
      <c r="AD17">
        <v>10</v>
      </c>
      <c r="AE17">
        <v>473</v>
      </c>
      <c r="AF17" s="17">
        <f t="shared" si="4"/>
        <v>0</v>
      </c>
      <c r="AG17" s="27">
        <v>0</v>
      </c>
      <c r="AH17">
        <v>206</v>
      </c>
      <c r="AI17">
        <v>3</v>
      </c>
      <c r="AJ17">
        <v>697</v>
      </c>
      <c r="AK17" s="17">
        <f t="shared" si="6"/>
        <v>0</v>
      </c>
      <c r="AL17" s="23">
        <f t="shared" si="5"/>
        <v>0.25817250886175658</v>
      </c>
    </row>
    <row r="18" spans="1:38" x14ac:dyDescent="0.2">
      <c r="A18" s="11" t="s">
        <v>188</v>
      </c>
      <c r="B18" s="24" t="s">
        <v>157</v>
      </c>
      <c r="C18" s="37">
        <v>8970138351</v>
      </c>
      <c r="D18" s="25" t="s">
        <v>185</v>
      </c>
      <c r="E18" s="12" t="s">
        <v>217</v>
      </c>
      <c r="F18" s="12" t="s">
        <v>270</v>
      </c>
      <c r="G18" s="13" t="s">
        <v>189</v>
      </c>
      <c r="H18" s="27">
        <v>804</v>
      </c>
      <c r="I18">
        <v>1</v>
      </c>
      <c r="J18">
        <v>12</v>
      </c>
      <c r="K18">
        <v>480</v>
      </c>
      <c r="L18" s="17">
        <f t="shared" si="0"/>
        <v>0.98408812729498163</v>
      </c>
      <c r="M18" s="27">
        <v>1</v>
      </c>
      <c r="N18">
        <v>567</v>
      </c>
      <c r="O18">
        <v>3</v>
      </c>
      <c r="P18">
        <v>291</v>
      </c>
      <c r="Q18" s="17">
        <f t="shared" si="1"/>
        <v>1.7513134851138354E-3</v>
      </c>
      <c r="R18" s="27">
        <v>0</v>
      </c>
      <c r="S18">
        <v>424</v>
      </c>
      <c r="T18">
        <v>7</v>
      </c>
      <c r="U18">
        <v>235</v>
      </c>
      <c r="V18" s="17">
        <f t="shared" si="2"/>
        <v>0</v>
      </c>
      <c r="W18" s="27">
        <v>0</v>
      </c>
      <c r="X18">
        <v>420</v>
      </c>
      <c r="Y18">
        <v>8</v>
      </c>
      <c r="Z18">
        <v>263</v>
      </c>
      <c r="AA18" s="17">
        <f t="shared" si="3"/>
        <v>0</v>
      </c>
      <c r="AB18" s="27">
        <v>0</v>
      </c>
      <c r="AC18">
        <v>392</v>
      </c>
      <c r="AD18">
        <v>10</v>
      </c>
      <c r="AE18">
        <v>254</v>
      </c>
      <c r="AF18" s="17">
        <f t="shared" si="4"/>
        <v>0</v>
      </c>
      <c r="AG18" s="27">
        <v>0</v>
      </c>
      <c r="AH18">
        <v>603</v>
      </c>
      <c r="AI18">
        <v>3</v>
      </c>
      <c r="AJ18">
        <v>300</v>
      </c>
      <c r="AK18" s="17">
        <f t="shared" si="6"/>
        <v>0</v>
      </c>
      <c r="AL18" s="23">
        <f t="shared" si="5"/>
        <v>0.64100039385584873</v>
      </c>
    </row>
    <row r="19" spans="1:38" x14ac:dyDescent="0.2">
      <c r="A19" s="11" t="s">
        <v>190</v>
      </c>
      <c r="B19" s="11" t="s">
        <v>155</v>
      </c>
      <c r="C19" s="37">
        <v>984664800</v>
      </c>
      <c r="D19" s="25" t="s">
        <v>185</v>
      </c>
      <c r="E19" s="12" t="s">
        <v>217</v>
      </c>
      <c r="F19" s="12" t="s">
        <v>270</v>
      </c>
      <c r="G19" s="13" t="s">
        <v>177</v>
      </c>
      <c r="H19" s="27">
        <v>432</v>
      </c>
      <c r="I19">
        <v>2</v>
      </c>
      <c r="J19">
        <v>8</v>
      </c>
      <c r="K19">
        <v>855</v>
      </c>
      <c r="L19" s="17">
        <f t="shared" si="0"/>
        <v>0.9773755656108597</v>
      </c>
      <c r="M19" s="27">
        <v>1</v>
      </c>
      <c r="N19">
        <v>304</v>
      </c>
      <c r="O19">
        <v>2</v>
      </c>
      <c r="P19">
        <v>555</v>
      </c>
      <c r="Q19" s="17">
        <f t="shared" si="1"/>
        <v>3.2573289902280132E-3</v>
      </c>
      <c r="R19" s="27">
        <v>0</v>
      </c>
      <c r="S19">
        <v>259</v>
      </c>
      <c r="T19">
        <v>5</v>
      </c>
      <c r="U19">
        <v>402</v>
      </c>
      <c r="V19" s="17">
        <f t="shared" si="2"/>
        <v>0</v>
      </c>
      <c r="W19" s="27">
        <v>0</v>
      </c>
      <c r="X19">
        <v>245</v>
      </c>
      <c r="Y19">
        <v>4</v>
      </c>
      <c r="Z19">
        <v>442</v>
      </c>
      <c r="AA19" s="17">
        <f t="shared" si="3"/>
        <v>0</v>
      </c>
      <c r="AB19" s="27">
        <v>0</v>
      </c>
      <c r="AC19">
        <v>223</v>
      </c>
      <c r="AD19">
        <v>6</v>
      </c>
      <c r="AE19">
        <v>427</v>
      </c>
      <c r="AF19" s="17">
        <f t="shared" si="4"/>
        <v>0</v>
      </c>
      <c r="AG19" s="27">
        <v>0</v>
      </c>
      <c r="AH19">
        <v>340</v>
      </c>
      <c r="AI19">
        <v>3</v>
      </c>
      <c r="AJ19">
        <v>563</v>
      </c>
      <c r="AK19" s="17">
        <f t="shared" si="6"/>
        <v>0</v>
      </c>
      <c r="AL19" s="23">
        <f t="shared" si="5"/>
        <v>0.36116581331232767</v>
      </c>
    </row>
    <row r="20" spans="1:38" x14ac:dyDescent="0.2">
      <c r="A20" s="11" t="s">
        <v>191</v>
      </c>
      <c r="B20" s="11" t="s">
        <v>154</v>
      </c>
      <c r="C20" s="37">
        <v>632789400</v>
      </c>
      <c r="D20" s="25" t="s">
        <v>185</v>
      </c>
      <c r="E20" s="12" t="s">
        <v>217</v>
      </c>
      <c r="F20" s="12" t="s">
        <v>270</v>
      </c>
      <c r="G20" s="13" t="s">
        <v>177</v>
      </c>
      <c r="H20" s="27">
        <v>333</v>
      </c>
      <c r="I20">
        <v>0</v>
      </c>
      <c r="J20">
        <v>7</v>
      </c>
      <c r="K20">
        <v>957</v>
      </c>
      <c r="L20" s="17">
        <f t="shared" si="0"/>
        <v>0.97941176470588232</v>
      </c>
      <c r="M20" s="27">
        <v>1</v>
      </c>
      <c r="N20">
        <v>243</v>
      </c>
      <c r="O20">
        <v>2</v>
      </c>
      <c r="P20">
        <v>616</v>
      </c>
      <c r="Q20" s="17">
        <f t="shared" si="1"/>
        <v>4.0650406504065045E-3</v>
      </c>
      <c r="R20" s="27">
        <v>0</v>
      </c>
      <c r="S20">
        <v>208</v>
      </c>
      <c r="T20">
        <v>5</v>
      </c>
      <c r="U20">
        <v>453</v>
      </c>
      <c r="V20" s="17">
        <f t="shared" si="2"/>
        <v>0</v>
      </c>
      <c r="W20" s="27">
        <v>0</v>
      </c>
      <c r="X20">
        <v>192</v>
      </c>
      <c r="Y20">
        <v>3</v>
      </c>
      <c r="Z20">
        <v>496</v>
      </c>
      <c r="AA20" s="17">
        <f t="shared" si="3"/>
        <v>0</v>
      </c>
      <c r="AB20" s="27">
        <v>0</v>
      </c>
      <c r="AC20">
        <v>165</v>
      </c>
      <c r="AD20">
        <v>6</v>
      </c>
      <c r="AE20">
        <v>485</v>
      </c>
      <c r="AF20" s="17">
        <f t="shared" si="4"/>
        <v>0</v>
      </c>
      <c r="AG20" s="27">
        <v>0</v>
      </c>
      <c r="AH20">
        <v>271</v>
      </c>
      <c r="AI20">
        <v>3</v>
      </c>
      <c r="AJ20">
        <v>632</v>
      </c>
      <c r="AK20" s="17">
        <f t="shared" si="6"/>
        <v>0</v>
      </c>
      <c r="AL20" s="23">
        <f t="shared" si="5"/>
        <v>0.28337928318235528</v>
      </c>
    </row>
    <row r="21" spans="1:38" x14ac:dyDescent="0.2">
      <c r="A21" s="11" t="s">
        <v>192</v>
      </c>
      <c r="B21" s="24" t="s">
        <v>153</v>
      </c>
      <c r="C21" s="37">
        <v>785909000</v>
      </c>
      <c r="D21" s="25" t="s">
        <v>185</v>
      </c>
      <c r="E21" s="12" t="s">
        <v>217</v>
      </c>
      <c r="F21" s="12" t="s">
        <v>270</v>
      </c>
      <c r="G21" s="13" t="s">
        <v>177</v>
      </c>
      <c r="H21" s="27">
        <v>365</v>
      </c>
      <c r="I21">
        <v>1</v>
      </c>
      <c r="J21">
        <v>7</v>
      </c>
      <c r="K21">
        <v>924</v>
      </c>
      <c r="L21" s="17">
        <f t="shared" si="0"/>
        <v>0.97855227882037532</v>
      </c>
      <c r="M21" s="27">
        <v>1</v>
      </c>
      <c r="N21">
        <v>262</v>
      </c>
      <c r="O21">
        <v>2</v>
      </c>
      <c r="P21">
        <v>597</v>
      </c>
      <c r="Q21" s="17">
        <f t="shared" si="1"/>
        <v>3.7735849056603774E-3</v>
      </c>
      <c r="R21" s="27">
        <v>0</v>
      </c>
      <c r="S21">
        <v>228</v>
      </c>
      <c r="T21">
        <v>4</v>
      </c>
      <c r="U21">
        <v>434</v>
      </c>
      <c r="V21" s="17">
        <f t="shared" si="2"/>
        <v>0</v>
      </c>
      <c r="W21" s="27">
        <v>0</v>
      </c>
      <c r="X21">
        <v>210</v>
      </c>
      <c r="Y21">
        <v>3</v>
      </c>
      <c r="Z21">
        <v>478</v>
      </c>
      <c r="AA21" s="17">
        <f t="shared" si="3"/>
        <v>0</v>
      </c>
      <c r="AB21" s="27">
        <v>0</v>
      </c>
      <c r="AC21">
        <v>179</v>
      </c>
      <c r="AD21">
        <v>6</v>
      </c>
      <c r="AE21">
        <v>471</v>
      </c>
      <c r="AF21" s="17">
        <f t="shared" si="4"/>
        <v>0</v>
      </c>
      <c r="AG21" s="27">
        <v>0</v>
      </c>
      <c r="AH21">
        <v>292</v>
      </c>
      <c r="AI21">
        <v>2</v>
      </c>
      <c r="AJ21">
        <v>612</v>
      </c>
      <c r="AK21" s="17">
        <f t="shared" si="6"/>
        <v>0</v>
      </c>
      <c r="AL21" s="23">
        <f t="shared" si="5"/>
        <v>0.30760141788105555</v>
      </c>
    </row>
    <row r="22" spans="1:38" x14ac:dyDescent="0.2">
      <c r="A22" s="11" t="s">
        <v>193</v>
      </c>
      <c r="B22" s="11" t="s">
        <v>152</v>
      </c>
      <c r="C22" s="37">
        <v>1007010000</v>
      </c>
      <c r="D22" s="25" t="s">
        <v>185</v>
      </c>
      <c r="E22" s="12" t="s">
        <v>217</v>
      </c>
      <c r="F22" s="12" t="s">
        <v>270</v>
      </c>
      <c r="G22" s="13" t="s">
        <v>177</v>
      </c>
      <c r="H22" s="27">
        <v>376</v>
      </c>
      <c r="I22">
        <v>1</v>
      </c>
      <c r="J22">
        <v>8</v>
      </c>
      <c r="K22">
        <v>912</v>
      </c>
      <c r="L22" s="17">
        <f t="shared" si="0"/>
        <v>0.97662337662337662</v>
      </c>
      <c r="M22" s="27">
        <v>1</v>
      </c>
      <c r="N22">
        <v>273</v>
      </c>
      <c r="O22">
        <v>2</v>
      </c>
      <c r="P22">
        <v>586</v>
      </c>
      <c r="Q22" s="17">
        <f t="shared" si="1"/>
        <v>3.6231884057971015E-3</v>
      </c>
      <c r="R22" s="27">
        <v>1</v>
      </c>
      <c r="S22">
        <v>245</v>
      </c>
      <c r="T22">
        <v>4</v>
      </c>
      <c r="U22">
        <v>416</v>
      </c>
      <c r="V22" s="17">
        <f t="shared" si="2"/>
        <v>4.0000000000000001E-3</v>
      </c>
      <c r="W22" s="27">
        <v>0</v>
      </c>
      <c r="X22">
        <v>215</v>
      </c>
      <c r="Y22">
        <v>3</v>
      </c>
      <c r="Z22">
        <v>473</v>
      </c>
      <c r="AA22" s="17">
        <f t="shared" si="3"/>
        <v>0</v>
      </c>
      <c r="AB22" s="27">
        <v>0</v>
      </c>
      <c r="AC22">
        <v>182</v>
      </c>
      <c r="AD22">
        <v>6</v>
      </c>
      <c r="AE22">
        <v>468</v>
      </c>
      <c r="AF22" s="17">
        <f t="shared" si="4"/>
        <v>0</v>
      </c>
      <c r="AG22" s="27">
        <v>0</v>
      </c>
      <c r="AH22">
        <v>304</v>
      </c>
      <c r="AI22">
        <v>2</v>
      </c>
      <c r="AJ22">
        <v>600</v>
      </c>
      <c r="AK22" s="17">
        <f t="shared" si="6"/>
        <v>0</v>
      </c>
      <c r="AL22" s="23">
        <f t="shared" si="5"/>
        <v>0.31961402126821581</v>
      </c>
    </row>
    <row r="23" spans="1:38" x14ac:dyDescent="0.2">
      <c r="A23" s="11" t="s">
        <v>194</v>
      </c>
      <c r="B23" s="11" t="s">
        <v>151</v>
      </c>
      <c r="C23" s="37">
        <v>878242800</v>
      </c>
      <c r="D23" s="25" t="s">
        <v>185</v>
      </c>
      <c r="E23" s="12" t="s">
        <v>217</v>
      </c>
      <c r="F23" s="12" t="s">
        <v>270</v>
      </c>
      <c r="G23" s="13" t="s">
        <v>177</v>
      </c>
      <c r="H23" s="27">
        <v>327</v>
      </c>
      <c r="I23">
        <v>0</v>
      </c>
      <c r="J23">
        <v>5</v>
      </c>
      <c r="K23">
        <v>965</v>
      </c>
      <c r="L23" s="17">
        <f t="shared" si="0"/>
        <v>0.98493975903614461</v>
      </c>
      <c r="M23" s="27">
        <v>1</v>
      </c>
      <c r="N23">
        <v>243</v>
      </c>
      <c r="O23">
        <v>2</v>
      </c>
      <c r="P23">
        <v>616</v>
      </c>
      <c r="Q23" s="17">
        <f t="shared" si="1"/>
        <v>4.0650406504065045E-3</v>
      </c>
      <c r="R23" s="27">
        <v>1</v>
      </c>
      <c r="S23">
        <v>196</v>
      </c>
      <c r="T23">
        <v>3</v>
      </c>
      <c r="U23">
        <v>466</v>
      </c>
      <c r="V23" s="17">
        <f t="shared" si="2"/>
        <v>5.0000000000000001E-3</v>
      </c>
      <c r="W23" s="27">
        <v>0</v>
      </c>
      <c r="X23">
        <v>195</v>
      </c>
      <c r="Y23">
        <v>3</v>
      </c>
      <c r="Z23">
        <v>493</v>
      </c>
      <c r="AA23" s="17">
        <f t="shared" si="3"/>
        <v>0</v>
      </c>
      <c r="AB23" s="27">
        <v>0</v>
      </c>
      <c r="AC23">
        <v>164</v>
      </c>
      <c r="AD23">
        <v>6</v>
      </c>
      <c r="AE23">
        <v>486</v>
      </c>
      <c r="AF23" s="17">
        <f t="shared" si="4"/>
        <v>0</v>
      </c>
      <c r="AG23" s="27">
        <v>0</v>
      </c>
      <c r="AH23">
        <v>266</v>
      </c>
      <c r="AI23">
        <v>2</v>
      </c>
      <c r="AJ23">
        <v>638</v>
      </c>
      <c r="AK23" s="17">
        <f t="shared" si="6"/>
        <v>0</v>
      </c>
      <c r="AL23" s="23">
        <f t="shared" si="5"/>
        <v>0.27845608507286335</v>
      </c>
    </row>
    <row r="24" spans="1:38" x14ac:dyDescent="0.2">
      <c r="A24" s="11" t="s">
        <v>195</v>
      </c>
      <c r="B24" s="11" t="s">
        <v>150</v>
      </c>
      <c r="C24" s="37">
        <v>741743800</v>
      </c>
      <c r="D24" s="25" t="s">
        <v>185</v>
      </c>
      <c r="E24" s="12" t="s">
        <v>217</v>
      </c>
      <c r="F24" s="12" t="s">
        <v>270</v>
      </c>
      <c r="G24" s="13" t="s">
        <v>177</v>
      </c>
      <c r="H24" s="27">
        <v>311</v>
      </c>
      <c r="I24">
        <v>0</v>
      </c>
      <c r="J24">
        <v>6</v>
      </c>
      <c r="K24">
        <v>980</v>
      </c>
      <c r="L24" s="17">
        <f t="shared" si="0"/>
        <v>0.98107255520504733</v>
      </c>
      <c r="M24" s="27">
        <v>0</v>
      </c>
      <c r="N24">
        <v>213</v>
      </c>
      <c r="O24">
        <v>2</v>
      </c>
      <c r="P24">
        <v>647</v>
      </c>
      <c r="Q24" s="17">
        <f t="shared" si="1"/>
        <v>0</v>
      </c>
      <c r="R24" s="27">
        <v>1</v>
      </c>
      <c r="S24">
        <v>185</v>
      </c>
      <c r="T24">
        <v>3</v>
      </c>
      <c r="U24">
        <v>477</v>
      </c>
      <c r="V24" s="17">
        <f t="shared" si="2"/>
        <v>5.2910052910052907E-3</v>
      </c>
      <c r="W24" s="27">
        <v>0</v>
      </c>
      <c r="X24">
        <v>179</v>
      </c>
      <c r="Y24">
        <v>3</v>
      </c>
      <c r="Z24">
        <v>509</v>
      </c>
      <c r="AA24" s="17">
        <f t="shared" si="3"/>
        <v>0</v>
      </c>
      <c r="AB24" s="27">
        <v>0</v>
      </c>
      <c r="AC24">
        <v>141</v>
      </c>
      <c r="AD24">
        <v>6</v>
      </c>
      <c r="AE24">
        <v>509</v>
      </c>
      <c r="AF24" s="17">
        <f t="shared" si="4"/>
        <v>0</v>
      </c>
      <c r="AG24" s="27">
        <v>0</v>
      </c>
      <c r="AH24">
        <v>237</v>
      </c>
      <c r="AI24">
        <v>2</v>
      </c>
      <c r="AJ24">
        <v>667</v>
      </c>
      <c r="AK24" s="17">
        <f t="shared" si="6"/>
        <v>0</v>
      </c>
      <c r="AL24" s="23">
        <f t="shared" si="5"/>
        <v>0.25384009452540368</v>
      </c>
    </row>
    <row r="25" spans="1:38" x14ac:dyDescent="0.2">
      <c r="A25" s="11" t="s">
        <v>196</v>
      </c>
      <c r="B25" s="11" t="s">
        <v>149</v>
      </c>
      <c r="C25" s="37">
        <v>945429600</v>
      </c>
      <c r="D25" s="25" t="s">
        <v>185</v>
      </c>
      <c r="E25" s="12" t="s">
        <v>217</v>
      </c>
      <c r="F25" s="12" t="s">
        <v>270</v>
      </c>
      <c r="G25" s="13" t="s">
        <v>177</v>
      </c>
      <c r="H25" s="27">
        <v>305</v>
      </c>
      <c r="I25">
        <v>0</v>
      </c>
      <c r="J25">
        <v>6</v>
      </c>
      <c r="K25">
        <v>986</v>
      </c>
      <c r="L25" s="17">
        <f t="shared" si="0"/>
        <v>0.98070739549839225</v>
      </c>
      <c r="M25" s="27">
        <v>1</v>
      </c>
      <c r="N25">
        <v>203</v>
      </c>
      <c r="O25">
        <v>1</v>
      </c>
      <c r="P25">
        <v>657</v>
      </c>
      <c r="Q25" s="17">
        <f t="shared" si="1"/>
        <v>4.8780487804878049E-3</v>
      </c>
      <c r="R25" s="27">
        <v>1</v>
      </c>
      <c r="S25">
        <v>169</v>
      </c>
      <c r="T25">
        <v>3</v>
      </c>
      <c r="U25">
        <v>493</v>
      </c>
      <c r="V25" s="17">
        <f t="shared" si="2"/>
        <v>5.7803468208092483E-3</v>
      </c>
      <c r="W25" s="27">
        <v>0</v>
      </c>
      <c r="X25">
        <v>178</v>
      </c>
      <c r="Y25">
        <v>3</v>
      </c>
      <c r="Z25">
        <v>510</v>
      </c>
      <c r="AA25" s="17">
        <f t="shared" si="3"/>
        <v>0</v>
      </c>
      <c r="AB25" s="27">
        <v>0</v>
      </c>
      <c r="AC25">
        <v>143</v>
      </c>
      <c r="AD25">
        <v>6</v>
      </c>
      <c r="AE25">
        <v>507</v>
      </c>
      <c r="AF25" s="17">
        <f t="shared" si="4"/>
        <v>0</v>
      </c>
      <c r="AG25" s="27">
        <v>0</v>
      </c>
      <c r="AH25">
        <v>218</v>
      </c>
      <c r="AI25">
        <v>2</v>
      </c>
      <c r="AJ25">
        <v>686</v>
      </c>
      <c r="AK25" s="17">
        <f t="shared" si="6"/>
        <v>0</v>
      </c>
      <c r="AL25" s="23">
        <f t="shared" si="5"/>
        <v>0.24399369830641984</v>
      </c>
    </row>
    <row r="26" spans="1:38" x14ac:dyDescent="0.2">
      <c r="A26" s="11" t="s">
        <v>197</v>
      </c>
      <c r="B26" s="11" t="s">
        <v>148</v>
      </c>
      <c r="C26" s="37">
        <v>512492600</v>
      </c>
      <c r="D26" s="25" t="s">
        <v>185</v>
      </c>
      <c r="E26" s="12" t="s">
        <v>217</v>
      </c>
      <c r="F26" s="12" t="s">
        <v>270</v>
      </c>
      <c r="G26" s="13" t="s">
        <v>177</v>
      </c>
      <c r="H26" s="27">
        <v>227</v>
      </c>
      <c r="I26">
        <v>0</v>
      </c>
      <c r="J26">
        <v>3</v>
      </c>
      <c r="K26">
        <v>1067</v>
      </c>
      <c r="L26" s="17">
        <f t="shared" si="0"/>
        <v>0.9869565217391304</v>
      </c>
      <c r="M26" s="27">
        <v>1</v>
      </c>
      <c r="N26">
        <v>154</v>
      </c>
      <c r="O26">
        <v>1</v>
      </c>
      <c r="P26">
        <v>706</v>
      </c>
      <c r="Q26" s="17">
        <f t="shared" si="1"/>
        <v>6.41025641025641E-3</v>
      </c>
      <c r="R26" s="27">
        <v>1</v>
      </c>
      <c r="S26">
        <v>128</v>
      </c>
      <c r="T26">
        <v>3</v>
      </c>
      <c r="U26">
        <v>534</v>
      </c>
      <c r="V26" s="17">
        <f t="shared" si="2"/>
        <v>7.575757575757576E-3</v>
      </c>
      <c r="W26" s="27">
        <v>0</v>
      </c>
      <c r="X26">
        <v>142</v>
      </c>
      <c r="Y26">
        <v>2</v>
      </c>
      <c r="Z26">
        <v>547</v>
      </c>
      <c r="AA26" s="17">
        <f t="shared" si="3"/>
        <v>0</v>
      </c>
      <c r="AB26" s="27">
        <v>0</v>
      </c>
      <c r="AC26">
        <v>101</v>
      </c>
      <c r="AD26">
        <v>5</v>
      </c>
      <c r="AE26">
        <v>550</v>
      </c>
      <c r="AF26" s="17">
        <f t="shared" si="4"/>
        <v>0</v>
      </c>
      <c r="AG26" s="27">
        <v>0</v>
      </c>
      <c r="AH26">
        <v>165</v>
      </c>
      <c r="AI26">
        <v>2</v>
      </c>
      <c r="AJ26">
        <v>739</v>
      </c>
      <c r="AK26" s="17">
        <f t="shared" si="6"/>
        <v>0</v>
      </c>
      <c r="AL26" s="23">
        <f t="shared" si="5"/>
        <v>0.18412760929499802</v>
      </c>
    </row>
    <row r="27" spans="1:38" x14ac:dyDescent="0.2">
      <c r="A27" s="11" t="s">
        <v>198</v>
      </c>
      <c r="B27" s="11" t="s">
        <v>147</v>
      </c>
      <c r="C27" s="37">
        <v>1019417600</v>
      </c>
      <c r="D27" s="25" t="s">
        <v>185</v>
      </c>
      <c r="E27" s="12" t="s">
        <v>217</v>
      </c>
      <c r="F27" s="12" t="s">
        <v>270</v>
      </c>
      <c r="G27" s="13" t="s">
        <v>177</v>
      </c>
      <c r="H27" s="27">
        <v>284</v>
      </c>
      <c r="I27">
        <v>0</v>
      </c>
      <c r="J27">
        <v>4</v>
      </c>
      <c r="K27">
        <v>1009</v>
      </c>
      <c r="L27" s="17">
        <f t="shared" si="0"/>
        <v>0.98611111111111116</v>
      </c>
      <c r="M27" s="27">
        <v>1</v>
      </c>
      <c r="N27">
        <v>189</v>
      </c>
      <c r="O27">
        <v>1</v>
      </c>
      <c r="P27">
        <v>671</v>
      </c>
      <c r="Q27" s="17">
        <f t="shared" si="1"/>
        <v>5.235602094240838E-3</v>
      </c>
      <c r="R27" s="27">
        <v>1</v>
      </c>
      <c r="S27">
        <v>153</v>
      </c>
      <c r="T27">
        <v>4</v>
      </c>
      <c r="U27">
        <v>508</v>
      </c>
      <c r="V27" s="17">
        <f t="shared" si="2"/>
        <v>6.3291139240506328E-3</v>
      </c>
      <c r="W27" s="27">
        <v>0</v>
      </c>
      <c r="X27">
        <v>161</v>
      </c>
      <c r="Y27">
        <v>2</v>
      </c>
      <c r="Z27">
        <v>528</v>
      </c>
      <c r="AA27" s="17">
        <f t="shared" si="3"/>
        <v>0</v>
      </c>
      <c r="AB27" s="27">
        <v>0</v>
      </c>
      <c r="AC27">
        <v>133</v>
      </c>
      <c r="AD27">
        <v>5</v>
      </c>
      <c r="AE27">
        <v>518</v>
      </c>
      <c r="AF27" s="17">
        <f t="shared" si="4"/>
        <v>0</v>
      </c>
      <c r="AG27" s="27">
        <v>0</v>
      </c>
      <c r="AH27">
        <v>204</v>
      </c>
      <c r="AI27">
        <v>2</v>
      </c>
      <c r="AJ27">
        <v>700</v>
      </c>
      <c r="AK27" s="17">
        <f t="shared" si="6"/>
        <v>0</v>
      </c>
      <c r="AL27" s="23">
        <f t="shared" si="5"/>
        <v>0.22528554549035054</v>
      </c>
    </row>
    <row r="28" spans="1:38" x14ac:dyDescent="0.2">
      <c r="A28" s="11" t="s">
        <v>199</v>
      </c>
      <c r="B28" s="11" t="s">
        <v>146</v>
      </c>
      <c r="C28" s="37">
        <v>732808600</v>
      </c>
      <c r="D28" s="25" t="s">
        <v>185</v>
      </c>
      <c r="E28" s="12" t="s">
        <v>217</v>
      </c>
      <c r="F28" s="12" t="s">
        <v>270</v>
      </c>
      <c r="G28" s="13" t="s">
        <v>177</v>
      </c>
      <c r="H28" s="27">
        <v>281</v>
      </c>
      <c r="I28">
        <v>0</v>
      </c>
      <c r="J28">
        <v>3</v>
      </c>
      <c r="K28">
        <v>1013</v>
      </c>
      <c r="L28" s="17">
        <f t="shared" si="0"/>
        <v>0.98943661971830987</v>
      </c>
      <c r="M28" s="27">
        <v>0</v>
      </c>
      <c r="N28">
        <v>189</v>
      </c>
      <c r="O28">
        <v>2</v>
      </c>
      <c r="P28">
        <v>671</v>
      </c>
      <c r="Q28" s="17">
        <f t="shared" si="1"/>
        <v>0</v>
      </c>
      <c r="R28" s="27">
        <v>1</v>
      </c>
      <c r="S28">
        <v>156</v>
      </c>
      <c r="T28">
        <v>4</v>
      </c>
      <c r="U28">
        <v>505</v>
      </c>
      <c r="V28" s="17">
        <f t="shared" si="2"/>
        <v>6.2111801242236021E-3</v>
      </c>
      <c r="W28" s="27">
        <v>0</v>
      </c>
      <c r="X28">
        <v>163</v>
      </c>
      <c r="Y28">
        <v>2</v>
      </c>
      <c r="Z28">
        <v>526</v>
      </c>
      <c r="AA28" s="17">
        <f t="shared" si="3"/>
        <v>0</v>
      </c>
      <c r="AB28" s="27">
        <v>0</v>
      </c>
      <c r="AC28">
        <v>133</v>
      </c>
      <c r="AD28">
        <v>5</v>
      </c>
      <c r="AE28">
        <v>518</v>
      </c>
      <c r="AF28" s="17">
        <f t="shared" si="4"/>
        <v>0</v>
      </c>
      <c r="AG28" s="27">
        <v>0</v>
      </c>
      <c r="AH28">
        <v>201</v>
      </c>
      <c r="AI28">
        <v>2</v>
      </c>
      <c r="AJ28">
        <v>703</v>
      </c>
      <c r="AK28" s="17">
        <f t="shared" si="6"/>
        <v>0</v>
      </c>
      <c r="AL28" s="23">
        <f t="shared" si="5"/>
        <v>0.22489168964159117</v>
      </c>
    </row>
    <row r="29" spans="1:38" x14ac:dyDescent="0.2">
      <c r="A29" s="11" t="s">
        <v>200</v>
      </c>
      <c r="B29" s="11" t="s">
        <v>145</v>
      </c>
      <c r="C29" s="37">
        <v>814726400</v>
      </c>
      <c r="D29" s="25" t="s">
        <v>185</v>
      </c>
      <c r="E29" s="12" t="s">
        <v>217</v>
      </c>
      <c r="F29" s="12" t="s">
        <v>270</v>
      </c>
      <c r="G29" s="13" t="s">
        <v>177</v>
      </c>
      <c r="H29" s="27">
        <v>280</v>
      </c>
      <c r="I29">
        <v>0</v>
      </c>
      <c r="J29">
        <v>4</v>
      </c>
      <c r="K29">
        <v>1013</v>
      </c>
      <c r="L29" s="17">
        <f t="shared" si="0"/>
        <v>0.9859154929577465</v>
      </c>
      <c r="M29" s="27">
        <v>1</v>
      </c>
      <c r="N29">
        <v>181</v>
      </c>
      <c r="O29">
        <v>1</v>
      </c>
      <c r="P29">
        <v>679</v>
      </c>
      <c r="Q29" s="17">
        <f t="shared" si="1"/>
        <v>5.4644808743169399E-3</v>
      </c>
      <c r="R29" s="27">
        <v>1</v>
      </c>
      <c r="S29">
        <v>139</v>
      </c>
      <c r="T29">
        <v>4</v>
      </c>
      <c r="U29">
        <v>522</v>
      </c>
      <c r="V29" s="17">
        <f t="shared" si="2"/>
        <v>6.9444444444444441E-3</v>
      </c>
      <c r="W29" s="27">
        <v>0</v>
      </c>
      <c r="X29">
        <v>149</v>
      </c>
      <c r="Y29">
        <v>2</v>
      </c>
      <c r="Z29">
        <v>540</v>
      </c>
      <c r="AA29" s="17">
        <f t="shared" si="3"/>
        <v>0</v>
      </c>
      <c r="AB29" s="27">
        <v>0</v>
      </c>
      <c r="AC29">
        <v>126</v>
      </c>
      <c r="AD29">
        <v>5</v>
      </c>
      <c r="AE29">
        <v>525</v>
      </c>
      <c r="AF29" s="17">
        <f t="shared" si="4"/>
        <v>0</v>
      </c>
      <c r="AG29" s="27">
        <v>0</v>
      </c>
      <c r="AH29">
        <v>190</v>
      </c>
      <c r="AI29">
        <v>2</v>
      </c>
      <c r="AJ29">
        <v>714</v>
      </c>
      <c r="AK29" s="17">
        <f t="shared" si="6"/>
        <v>0</v>
      </c>
      <c r="AL29" s="23">
        <f t="shared" si="5"/>
        <v>0.21366679795194959</v>
      </c>
    </row>
    <row r="30" spans="1:38" x14ac:dyDescent="0.2">
      <c r="A30" s="11" t="s">
        <v>201</v>
      </c>
      <c r="B30" s="11" t="s">
        <v>144</v>
      </c>
      <c r="C30" s="37">
        <v>522307200</v>
      </c>
      <c r="D30" s="25" t="s">
        <v>185</v>
      </c>
      <c r="E30" s="12" t="s">
        <v>217</v>
      </c>
      <c r="F30" s="12" t="s">
        <v>270</v>
      </c>
      <c r="G30" s="13" t="s">
        <v>177</v>
      </c>
      <c r="H30" s="27">
        <v>230</v>
      </c>
      <c r="I30">
        <v>0</v>
      </c>
      <c r="J30">
        <v>3</v>
      </c>
      <c r="K30">
        <v>1064</v>
      </c>
      <c r="L30" s="17">
        <f t="shared" si="0"/>
        <v>0.98712446351931327</v>
      </c>
      <c r="M30" s="27">
        <v>1</v>
      </c>
      <c r="N30">
        <v>159</v>
      </c>
      <c r="O30">
        <v>1</v>
      </c>
      <c r="P30">
        <v>701</v>
      </c>
      <c r="Q30" s="17">
        <f t="shared" si="1"/>
        <v>6.2111801242236021E-3</v>
      </c>
      <c r="R30" s="27">
        <v>1</v>
      </c>
      <c r="S30">
        <v>121</v>
      </c>
      <c r="T30">
        <v>4</v>
      </c>
      <c r="U30">
        <v>540</v>
      </c>
      <c r="V30" s="17">
        <f t="shared" si="2"/>
        <v>7.9365079365079361E-3</v>
      </c>
      <c r="W30" s="27">
        <v>0</v>
      </c>
      <c r="X30">
        <v>140</v>
      </c>
      <c r="Y30">
        <v>2</v>
      </c>
      <c r="Z30">
        <v>549</v>
      </c>
      <c r="AA30" s="17">
        <f t="shared" si="3"/>
        <v>0</v>
      </c>
      <c r="AB30" s="27">
        <v>0</v>
      </c>
      <c r="AC30">
        <v>103</v>
      </c>
      <c r="AD30">
        <v>5</v>
      </c>
      <c r="AE30">
        <v>548</v>
      </c>
      <c r="AF30" s="17">
        <f t="shared" si="4"/>
        <v>0</v>
      </c>
      <c r="AG30" s="27">
        <v>0</v>
      </c>
      <c r="AH30">
        <v>153</v>
      </c>
      <c r="AI30">
        <v>2</v>
      </c>
      <c r="AJ30">
        <v>751</v>
      </c>
      <c r="AK30" s="17">
        <f t="shared" si="6"/>
        <v>0</v>
      </c>
      <c r="AL30" s="23">
        <f t="shared" si="5"/>
        <v>0.18215833005120127</v>
      </c>
    </row>
    <row r="31" spans="1:38" x14ac:dyDescent="0.2">
      <c r="A31" s="11" t="s">
        <v>202</v>
      </c>
      <c r="B31" s="11" t="s">
        <v>143</v>
      </c>
      <c r="C31" s="37">
        <v>899999200</v>
      </c>
      <c r="D31" s="25" t="s">
        <v>185</v>
      </c>
      <c r="E31" s="12" t="s">
        <v>217</v>
      </c>
      <c r="F31" s="12" t="s">
        <v>270</v>
      </c>
      <c r="G31" s="13" t="s">
        <v>177</v>
      </c>
      <c r="H31" s="27">
        <v>327</v>
      </c>
      <c r="I31">
        <v>1</v>
      </c>
      <c r="J31">
        <v>4</v>
      </c>
      <c r="K31">
        <v>965</v>
      </c>
      <c r="L31" s="17">
        <f t="shared" si="0"/>
        <v>0.98493975903614461</v>
      </c>
      <c r="M31" s="27">
        <v>1</v>
      </c>
      <c r="N31">
        <v>201</v>
      </c>
      <c r="O31">
        <v>2</v>
      </c>
      <c r="P31">
        <v>658</v>
      </c>
      <c r="Q31" s="17">
        <f t="shared" si="1"/>
        <v>4.9019607843137254E-3</v>
      </c>
      <c r="R31" s="27">
        <v>1</v>
      </c>
      <c r="S31">
        <v>165</v>
      </c>
      <c r="T31">
        <v>4</v>
      </c>
      <c r="U31">
        <v>496</v>
      </c>
      <c r="V31" s="17">
        <f t="shared" si="2"/>
        <v>5.8823529411764705E-3</v>
      </c>
      <c r="W31" s="27">
        <v>0</v>
      </c>
      <c r="X31">
        <v>170</v>
      </c>
      <c r="Y31">
        <v>2</v>
      </c>
      <c r="Z31">
        <v>519</v>
      </c>
      <c r="AA31" s="17">
        <f t="shared" si="3"/>
        <v>0</v>
      </c>
      <c r="AB31" s="27">
        <v>0</v>
      </c>
      <c r="AC31">
        <v>144</v>
      </c>
      <c r="AD31">
        <v>5</v>
      </c>
      <c r="AE31">
        <v>507</v>
      </c>
      <c r="AF31" s="17">
        <f t="shared" si="4"/>
        <v>0</v>
      </c>
      <c r="AG31" s="27">
        <v>0</v>
      </c>
      <c r="AH31">
        <v>216</v>
      </c>
      <c r="AI31">
        <v>2</v>
      </c>
      <c r="AJ31">
        <v>688</v>
      </c>
      <c r="AK31" s="17">
        <f t="shared" si="6"/>
        <v>0</v>
      </c>
      <c r="AL31" s="23">
        <f t="shared" si="5"/>
        <v>0.24517526585269792</v>
      </c>
    </row>
    <row r="32" spans="1:38" x14ac:dyDescent="0.2">
      <c r="A32" s="11" t="s">
        <v>203</v>
      </c>
      <c r="B32" s="11" t="s">
        <v>142</v>
      </c>
      <c r="C32" s="37">
        <v>571168400</v>
      </c>
      <c r="D32" s="25" t="s">
        <v>185</v>
      </c>
      <c r="E32" s="12" t="s">
        <v>217</v>
      </c>
      <c r="F32" s="12" t="s">
        <v>270</v>
      </c>
      <c r="G32" s="13" t="s">
        <v>177</v>
      </c>
      <c r="H32" s="27">
        <v>259</v>
      </c>
      <c r="I32">
        <v>1</v>
      </c>
      <c r="J32">
        <v>2</v>
      </c>
      <c r="K32">
        <v>1035</v>
      </c>
      <c r="L32" s="17">
        <f t="shared" si="0"/>
        <v>0.98854961832061072</v>
      </c>
      <c r="M32" s="27">
        <v>1</v>
      </c>
      <c r="N32">
        <v>165</v>
      </c>
      <c r="O32">
        <v>1</v>
      </c>
      <c r="P32">
        <v>695</v>
      </c>
      <c r="Q32" s="17">
        <f t="shared" si="1"/>
        <v>5.9880239520958087E-3</v>
      </c>
      <c r="R32" s="27">
        <v>0</v>
      </c>
      <c r="S32">
        <v>135</v>
      </c>
      <c r="T32">
        <v>5</v>
      </c>
      <c r="U32">
        <v>526</v>
      </c>
      <c r="V32" s="17">
        <f t="shared" si="2"/>
        <v>0</v>
      </c>
      <c r="W32" s="27">
        <v>0</v>
      </c>
      <c r="X32">
        <v>142</v>
      </c>
      <c r="Y32">
        <v>2</v>
      </c>
      <c r="Z32">
        <v>547</v>
      </c>
      <c r="AA32" s="17">
        <f t="shared" si="3"/>
        <v>0</v>
      </c>
      <c r="AB32" s="27">
        <v>0</v>
      </c>
      <c r="AC32">
        <v>117</v>
      </c>
      <c r="AD32">
        <v>4</v>
      </c>
      <c r="AE32">
        <v>535</v>
      </c>
      <c r="AF32" s="17">
        <f t="shared" si="4"/>
        <v>0</v>
      </c>
      <c r="AG32" s="27">
        <v>0</v>
      </c>
      <c r="AH32">
        <v>172</v>
      </c>
      <c r="AI32">
        <v>2</v>
      </c>
      <c r="AJ32">
        <v>732</v>
      </c>
      <c r="AK32" s="17">
        <f t="shared" si="6"/>
        <v>0</v>
      </c>
      <c r="AL32" s="23">
        <f t="shared" si="5"/>
        <v>0.19850334777471446</v>
      </c>
    </row>
    <row r="33" spans="1:38" x14ac:dyDescent="0.2">
      <c r="A33" s="11" t="s">
        <v>204</v>
      </c>
      <c r="B33" s="11" t="s">
        <v>141</v>
      </c>
      <c r="C33" s="37">
        <v>1110060600</v>
      </c>
      <c r="D33" s="25" t="s">
        <v>185</v>
      </c>
      <c r="E33" s="12" t="s">
        <v>217</v>
      </c>
      <c r="F33" s="12" t="s">
        <v>270</v>
      </c>
      <c r="G33" s="13" t="s">
        <v>177</v>
      </c>
      <c r="H33" s="27">
        <v>350</v>
      </c>
      <c r="I33">
        <v>0</v>
      </c>
      <c r="J33">
        <v>6</v>
      </c>
      <c r="K33">
        <v>941</v>
      </c>
      <c r="L33" s="17">
        <f t="shared" si="0"/>
        <v>0.9831460674157303</v>
      </c>
      <c r="M33" s="27">
        <v>1</v>
      </c>
      <c r="N33">
        <v>235</v>
      </c>
      <c r="O33">
        <v>2</v>
      </c>
      <c r="P33">
        <v>624</v>
      </c>
      <c r="Q33" s="17">
        <f t="shared" si="1"/>
        <v>4.2016806722689074E-3</v>
      </c>
      <c r="R33" s="27">
        <v>0</v>
      </c>
      <c r="S33">
        <v>193</v>
      </c>
      <c r="T33">
        <v>5</v>
      </c>
      <c r="U33">
        <v>468</v>
      </c>
      <c r="V33" s="17">
        <f t="shared" si="2"/>
        <v>0</v>
      </c>
      <c r="W33" s="27">
        <v>0</v>
      </c>
      <c r="X33">
        <v>190</v>
      </c>
      <c r="Y33">
        <v>2</v>
      </c>
      <c r="Z33">
        <v>499</v>
      </c>
      <c r="AA33" s="17">
        <f t="shared" si="3"/>
        <v>0</v>
      </c>
      <c r="AB33" s="27">
        <v>0</v>
      </c>
      <c r="AC33">
        <v>166</v>
      </c>
      <c r="AD33">
        <v>5</v>
      </c>
      <c r="AE33">
        <v>485</v>
      </c>
      <c r="AF33" s="17">
        <f t="shared" si="4"/>
        <v>0</v>
      </c>
      <c r="AG33" s="27">
        <v>0</v>
      </c>
      <c r="AH33">
        <v>232</v>
      </c>
      <c r="AI33">
        <v>3</v>
      </c>
      <c r="AJ33">
        <v>671</v>
      </c>
      <c r="AK33" s="17">
        <f t="shared" si="6"/>
        <v>0</v>
      </c>
      <c r="AL33" s="23">
        <f t="shared" si="5"/>
        <v>0.27372981488775111</v>
      </c>
    </row>
    <row r="34" spans="1:38" x14ac:dyDescent="0.2">
      <c r="A34" s="11" t="s">
        <v>205</v>
      </c>
      <c r="B34" s="11" t="s">
        <v>140</v>
      </c>
      <c r="C34" s="37">
        <v>460776600</v>
      </c>
      <c r="D34" s="25" t="s">
        <v>185</v>
      </c>
      <c r="E34" s="12" t="s">
        <v>217</v>
      </c>
      <c r="F34" s="12" t="s">
        <v>270</v>
      </c>
      <c r="G34" s="13" t="s">
        <v>177</v>
      </c>
      <c r="H34" s="27">
        <v>181</v>
      </c>
      <c r="I34">
        <v>2</v>
      </c>
      <c r="J34">
        <v>2</v>
      </c>
      <c r="K34">
        <v>1112</v>
      </c>
      <c r="L34" s="17">
        <f t="shared" si="0"/>
        <v>0.97837837837837838</v>
      </c>
      <c r="M34" s="27">
        <v>0</v>
      </c>
      <c r="N34">
        <v>118</v>
      </c>
      <c r="O34">
        <v>2</v>
      </c>
      <c r="P34">
        <v>742</v>
      </c>
      <c r="Q34" s="17">
        <f t="shared" si="1"/>
        <v>0</v>
      </c>
      <c r="R34" s="27">
        <v>0</v>
      </c>
      <c r="S34">
        <v>101</v>
      </c>
      <c r="T34">
        <v>3</v>
      </c>
      <c r="U34">
        <v>562</v>
      </c>
      <c r="V34" s="17">
        <f t="shared" si="2"/>
        <v>0</v>
      </c>
      <c r="W34" s="27">
        <v>0</v>
      </c>
      <c r="X34">
        <v>115</v>
      </c>
      <c r="Y34">
        <v>2</v>
      </c>
      <c r="Z34">
        <v>574</v>
      </c>
      <c r="AA34" s="17">
        <f t="shared" si="3"/>
        <v>0</v>
      </c>
      <c r="AB34" s="27">
        <v>0</v>
      </c>
      <c r="AC34">
        <v>89</v>
      </c>
      <c r="AD34">
        <v>4</v>
      </c>
      <c r="AE34">
        <v>563</v>
      </c>
      <c r="AF34" s="17">
        <f t="shared" si="4"/>
        <v>0</v>
      </c>
      <c r="AG34" s="27">
        <v>0</v>
      </c>
      <c r="AH34">
        <v>130</v>
      </c>
      <c r="AI34">
        <v>2</v>
      </c>
      <c r="AJ34">
        <v>774</v>
      </c>
      <c r="AK34" s="17">
        <f t="shared" si="6"/>
        <v>0</v>
      </c>
      <c r="AL34" s="23">
        <f t="shared" si="5"/>
        <v>0.14789287120913747</v>
      </c>
    </row>
    <row r="35" spans="1:38" x14ac:dyDescent="0.2">
      <c r="A35" s="11" t="s">
        <v>206</v>
      </c>
      <c r="B35" s="11" t="s">
        <v>139</v>
      </c>
      <c r="C35" s="37">
        <v>804872800</v>
      </c>
      <c r="D35" s="25" t="s">
        <v>185</v>
      </c>
      <c r="E35" s="12" t="s">
        <v>217</v>
      </c>
      <c r="F35" s="12" t="s">
        <v>270</v>
      </c>
      <c r="G35" s="13" t="s">
        <v>177</v>
      </c>
      <c r="H35" s="27">
        <v>341</v>
      </c>
      <c r="I35">
        <v>2</v>
      </c>
      <c r="J35">
        <v>4</v>
      </c>
      <c r="K35">
        <v>950</v>
      </c>
      <c r="L35" s="17">
        <f t="shared" si="0"/>
        <v>0.98270893371757928</v>
      </c>
      <c r="M35" s="27">
        <v>1</v>
      </c>
      <c r="N35">
        <v>234</v>
      </c>
      <c r="O35">
        <v>2</v>
      </c>
      <c r="P35">
        <v>625</v>
      </c>
      <c r="Q35" s="17">
        <f t="shared" si="1"/>
        <v>4.2194092827004216E-3</v>
      </c>
      <c r="R35" s="27">
        <v>0</v>
      </c>
      <c r="S35">
        <v>188</v>
      </c>
      <c r="T35">
        <v>5</v>
      </c>
      <c r="U35">
        <v>473</v>
      </c>
      <c r="V35" s="17">
        <f t="shared" si="2"/>
        <v>0</v>
      </c>
      <c r="W35" s="27">
        <v>0</v>
      </c>
      <c r="X35">
        <v>185</v>
      </c>
      <c r="Y35">
        <v>2</v>
      </c>
      <c r="Z35">
        <v>504</v>
      </c>
      <c r="AA35" s="17">
        <f t="shared" si="3"/>
        <v>0</v>
      </c>
      <c r="AB35" s="27">
        <v>0</v>
      </c>
      <c r="AC35">
        <v>159</v>
      </c>
      <c r="AD35">
        <v>6</v>
      </c>
      <c r="AE35">
        <v>491</v>
      </c>
      <c r="AF35" s="17">
        <f t="shared" si="4"/>
        <v>0</v>
      </c>
      <c r="AG35" s="27">
        <v>0</v>
      </c>
      <c r="AH35">
        <v>248</v>
      </c>
      <c r="AI35">
        <v>3</v>
      </c>
      <c r="AJ35">
        <v>655</v>
      </c>
      <c r="AK35" s="17">
        <f t="shared" si="6"/>
        <v>0</v>
      </c>
      <c r="AL35" s="23">
        <f t="shared" si="5"/>
        <v>0.2717605356439543</v>
      </c>
    </row>
    <row r="36" spans="1:38" x14ac:dyDescent="0.2">
      <c r="A36" s="11" t="s">
        <v>207</v>
      </c>
      <c r="B36" s="11" t="s">
        <v>138</v>
      </c>
      <c r="C36" s="37">
        <v>586782200</v>
      </c>
      <c r="D36" s="25" t="s">
        <v>185</v>
      </c>
      <c r="E36" s="12" t="s">
        <v>217</v>
      </c>
      <c r="F36" s="12" t="s">
        <v>270</v>
      </c>
      <c r="G36" s="13" t="s">
        <v>177</v>
      </c>
      <c r="H36" s="27">
        <v>290</v>
      </c>
      <c r="I36">
        <v>1</v>
      </c>
      <c r="J36">
        <v>4</v>
      </c>
      <c r="K36">
        <v>1002</v>
      </c>
      <c r="L36" s="17">
        <f t="shared" si="0"/>
        <v>0.98305084745762716</v>
      </c>
      <c r="M36" s="27">
        <v>1</v>
      </c>
      <c r="N36">
        <v>200</v>
      </c>
      <c r="O36">
        <v>2</v>
      </c>
      <c r="P36">
        <v>659</v>
      </c>
      <c r="Q36" s="17">
        <f t="shared" si="1"/>
        <v>4.9261083743842365E-3</v>
      </c>
      <c r="R36" s="27">
        <v>0</v>
      </c>
      <c r="S36">
        <v>167</v>
      </c>
      <c r="T36">
        <v>5</v>
      </c>
      <c r="U36">
        <v>494</v>
      </c>
      <c r="V36" s="17">
        <f t="shared" si="2"/>
        <v>0</v>
      </c>
      <c r="W36" s="27">
        <v>0</v>
      </c>
      <c r="X36">
        <v>161</v>
      </c>
      <c r="Y36">
        <v>2</v>
      </c>
      <c r="Z36">
        <v>528</v>
      </c>
      <c r="AA36" s="17">
        <f t="shared" si="3"/>
        <v>0</v>
      </c>
      <c r="AB36" s="27">
        <v>0</v>
      </c>
      <c r="AC36">
        <v>142</v>
      </c>
      <c r="AD36">
        <v>5</v>
      </c>
      <c r="AE36">
        <v>509</v>
      </c>
      <c r="AF36" s="17">
        <f t="shared" si="4"/>
        <v>0</v>
      </c>
      <c r="AG36" s="27">
        <v>0</v>
      </c>
      <c r="AH36">
        <v>215</v>
      </c>
      <c r="AI36">
        <v>3</v>
      </c>
      <c r="AJ36">
        <v>688</v>
      </c>
      <c r="AK36" s="17">
        <f t="shared" si="6"/>
        <v>0</v>
      </c>
      <c r="AL36" s="23">
        <f t="shared" si="5"/>
        <v>0.23591965340685309</v>
      </c>
    </row>
    <row r="37" spans="1:38" x14ac:dyDescent="0.2">
      <c r="A37" s="11" t="s">
        <v>208</v>
      </c>
      <c r="B37" s="11" t="s">
        <v>137</v>
      </c>
      <c r="C37" s="37">
        <v>1010097800</v>
      </c>
      <c r="D37" s="25" t="s">
        <v>185</v>
      </c>
      <c r="E37" s="12" t="s">
        <v>217</v>
      </c>
      <c r="F37" s="12" t="s">
        <v>270</v>
      </c>
      <c r="G37" s="13" t="s">
        <v>177</v>
      </c>
      <c r="H37" s="27">
        <v>396</v>
      </c>
      <c r="I37">
        <v>2</v>
      </c>
      <c r="J37">
        <v>6</v>
      </c>
      <c r="K37">
        <v>893</v>
      </c>
      <c r="L37" s="17">
        <f t="shared" si="0"/>
        <v>0.98019801980198018</v>
      </c>
      <c r="M37" s="27">
        <v>2</v>
      </c>
      <c r="N37">
        <v>274</v>
      </c>
      <c r="O37">
        <v>2</v>
      </c>
      <c r="P37">
        <v>584</v>
      </c>
      <c r="Q37" s="17">
        <f t="shared" si="1"/>
        <v>7.1942446043165471E-3</v>
      </c>
      <c r="R37" s="27">
        <v>0</v>
      </c>
      <c r="S37">
        <v>240</v>
      </c>
      <c r="T37">
        <v>6</v>
      </c>
      <c r="U37">
        <v>420</v>
      </c>
      <c r="V37" s="17">
        <f t="shared" si="2"/>
        <v>0</v>
      </c>
      <c r="W37" s="27">
        <v>0</v>
      </c>
      <c r="X37">
        <v>218</v>
      </c>
      <c r="Y37">
        <v>2</v>
      </c>
      <c r="Z37">
        <v>471</v>
      </c>
      <c r="AA37" s="17">
        <f t="shared" si="3"/>
        <v>0</v>
      </c>
      <c r="AB37" s="27">
        <v>0</v>
      </c>
      <c r="AC37">
        <v>202</v>
      </c>
      <c r="AD37">
        <v>6</v>
      </c>
      <c r="AE37">
        <v>448</v>
      </c>
      <c r="AF37" s="17">
        <f t="shared" si="4"/>
        <v>0</v>
      </c>
      <c r="AG37" s="27">
        <v>0</v>
      </c>
      <c r="AH37">
        <v>290</v>
      </c>
      <c r="AI37">
        <v>3</v>
      </c>
      <c r="AJ37">
        <v>613</v>
      </c>
      <c r="AK37" s="17">
        <f t="shared" si="6"/>
        <v>0</v>
      </c>
      <c r="AL37" s="23">
        <f t="shared" si="5"/>
        <v>0.32473414730208744</v>
      </c>
    </row>
    <row r="38" spans="1:38" x14ac:dyDescent="0.2">
      <c r="A38" s="11" t="s">
        <v>209</v>
      </c>
      <c r="B38" s="11" t="s">
        <v>136</v>
      </c>
      <c r="C38" s="37">
        <v>662425000</v>
      </c>
      <c r="D38" s="25" t="s">
        <v>185</v>
      </c>
      <c r="E38" s="12" t="s">
        <v>217</v>
      </c>
      <c r="F38" s="12" t="s">
        <v>270</v>
      </c>
      <c r="G38" s="13" t="s">
        <v>177</v>
      </c>
      <c r="H38" s="27">
        <v>318</v>
      </c>
      <c r="I38">
        <v>2</v>
      </c>
      <c r="J38">
        <v>4</v>
      </c>
      <c r="K38">
        <v>973</v>
      </c>
      <c r="L38" s="17">
        <f t="shared" si="0"/>
        <v>0.98148148148148151</v>
      </c>
      <c r="M38" s="27">
        <v>0</v>
      </c>
      <c r="N38">
        <v>222</v>
      </c>
      <c r="O38">
        <v>2</v>
      </c>
      <c r="P38">
        <v>638</v>
      </c>
      <c r="Q38" s="17">
        <f t="shared" si="1"/>
        <v>0</v>
      </c>
      <c r="R38" s="27">
        <v>0</v>
      </c>
      <c r="S38">
        <v>192</v>
      </c>
      <c r="T38">
        <v>6</v>
      </c>
      <c r="U38">
        <v>468</v>
      </c>
      <c r="V38" s="17">
        <f t="shared" si="2"/>
        <v>0</v>
      </c>
      <c r="W38" s="27">
        <v>0</v>
      </c>
      <c r="X38">
        <v>182</v>
      </c>
      <c r="Y38">
        <v>3</v>
      </c>
      <c r="Z38">
        <v>506</v>
      </c>
      <c r="AA38" s="17">
        <f t="shared" si="3"/>
        <v>0</v>
      </c>
      <c r="AB38" s="27">
        <v>0</v>
      </c>
      <c r="AC38">
        <v>154</v>
      </c>
      <c r="AD38">
        <v>6</v>
      </c>
      <c r="AE38">
        <v>496</v>
      </c>
      <c r="AF38" s="17">
        <f t="shared" si="4"/>
        <v>0</v>
      </c>
      <c r="AG38" s="27">
        <v>0</v>
      </c>
      <c r="AH38">
        <v>236</v>
      </c>
      <c r="AI38">
        <v>3</v>
      </c>
      <c r="AJ38">
        <v>667</v>
      </c>
      <c r="AK38" s="17">
        <f t="shared" si="6"/>
        <v>0</v>
      </c>
      <c r="AL38" s="23">
        <f t="shared" si="5"/>
        <v>0.26191413942497044</v>
      </c>
    </row>
    <row r="39" spans="1:38" x14ac:dyDescent="0.2">
      <c r="A39" s="11" t="s">
        <v>210</v>
      </c>
      <c r="B39" s="11" t="s">
        <v>135</v>
      </c>
      <c r="C39" s="37">
        <v>721298000</v>
      </c>
      <c r="D39" s="25" t="s">
        <v>185</v>
      </c>
      <c r="E39" s="12" t="s">
        <v>217</v>
      </c>
      <c r="F39" s="12" t="s">
        <v>270</v>
      </c>
      <c r="G39" s="13" t="s">
        <v>177</v>
      </c>
      <c r="H39" s="27">
        <v>348</v>
      </c>
      <c r="I39">
        <v>2</v>
      </c>
      <c r="J39">
        <v>5</v>
      </c>
      <c r="K39">
        <v>942</v>
      </c>
      <c r="L39" s="17">
        <f t="shared" si="0"/>
        <v>0.9802816901408451</v>
      </c>
      <c r="M39" s="27">
        <v>0</v>
      </c>
      <c r="N39">
        <v>243</v>
      </c>
      <c r="O39">
        <v>2</v>
      </c>
      <c r="P39">
        <v>617</v>
      </c>
      <c r="Q39" s="17">
        <f t="shared" si="1"/>
        <v>0</v>
      </c>
      <c r="R39" s="27">
        <v>0</v>
      </c>
      <c r="S39">
        <v>208</v>
      </c>
      <c r="T39">
        <v>6</v>
      </c>
      <c r="U39">
        <v>452</v>
      </c>
      <c r="V39" s="17">
        <f t="shared" si="2"/>
        <v>0</v>
      </c>
      <c r="W39" s="27">
        <v>0</v>
      </c>
      <c r="X39">
        <v>197</v>
      </c>
      <c r="Y39">
        <v>2</v>
      </c>
      <c r="Z39">
        <v>492</v>
      </c>
      <c r="AA39" s="17">
        <f t="shared" si="3"/>
        <v>0</v>
      </c>
      <c r="AB39" s="27">
        <v>0</v>
      </c>
      <c r="AC39">
        <v>170</v>
      </c>
      <c r="AD39">
        <v>6</v>
      </c>
      <c r="AE39">
        <v>480</v>
      </c>
      <c r="AF39" s="17">
        <f t="shared" si="4"/>
        <v>0</v>
      </c>
      <c r="AG39" s="27">
        <v>0</v>
      </c>
      <c r="AH39">
        <v>244</v>
      </c>
      <c r="AI39">
        <v>3</v>
      </c>
      <c r="AJ39">
        <v>659</v>
      </c>
      <c r="AK39" s="17">
        <f t="shared" si="6"/>
        <v>0</v>
      </c>
      <c r="AL39" s="23">
        <f t="shared" si="5"/>
        <v>0.28278849940921624</v>
      </c>
    </row>
    <row r="40" spans="1:38" x14ac:dyDescent="0.2">
      <c r="A40" s="11" t="s">
        <v>211</v>
      </c>
      <c r="B40" s="11" t="s">
        <v>134</v>
      </c>
      <c r="C40" s="37">
        <v>681533200</v>
      </c>
      <c r="D40" s="25" t="s">
        <v>185</v>
      </c>
      <c r="E40" s="12" t="s">
        <v>217</v>
      </c>
      <c r="F40" s="12" t="s">
        <v>270</v>
      </c>
      <c r="G40" s="13" t="s">
        <v>177</v>
      </c>
      <c r="H40" s="27">
        <v>317</v>
      </c>
      <c r="I40">
        <v>2</v>
      </c>
      <c r="J40">
        <v>5</v>
      </c>
      <c r="K40">
        <v>973</v>
      </c>
      <c r="L40" s="17">
        <f t="shared" si="0"/>
        <v>0.97839506172839508</v>
      </c>
      <c r="M40" s="27">
        <v>0</v>
      </c>
      <c r="N40">
        <v>237</v>
      </c>
      <c r="O40">
        <v>2</v>
      </c>
      <c r="P40">
        <v>623</v>
      </c>
      <c r="Q40" s="17">
        <f t="shared" si="1"/>
        <v>0</v>
      </c>
      <c r="R40" s="27">
        <v>0</v>
      </c>
      <c r="S40">
        <v>193</v>
      </c>
      <c r="T40">
        <v>5</v>
      </c>
      <c r="U40">
        <v>468</v>
      </c>
      <c r="V40" s="17">
        <f t="shared" si="2"/>
        <v>0</v>
      </c>
      <c r="W40" s="27">
        <v>0</v>
      </c>
      <c r="X40">
        <v>180</v>
      </c>
      <c r="Y40">
        <v>3</v>
      </c>
      <c r="Z40">
        <v>508</v>
      </c>
      <c r="AA40" s="17">
        <f t="shared" si="3"/>
        <v>0</v>
      </c>
      <c r="AB40" s="27">
        <v>0</v>
      </c>
      <c r="AC40">
        <v>160</v>
      </c>
      <c r="AD40">
        <v>6</v>
      </c>
      <c r="AE40">
        <v>490</v>
      </c>
      <c r="AF40" s="17">
        <f t="shared" si="4"/>
        <v>0</v>
      </c>
      <c r="AG40" s="27">
        <v>0</v>
      </c>
      <c r="AH40">
        <v>234</v>
      </c>
      <c r="AI40">
        <v>3</v>
      </c>
      <c r="AJ40">
        <v>669</v>
      </c>
      <c r="AK40" s="17">
        <f t="shared" si="6"/>
        <v>0</v>
      </c>
      <c r="AL40" s="23">
        <f t="shared" si="5"/>
        <v>0.26526191413942496</v>
      </c>
    </row>
    <row r="41" spans="1:38" x14ac:dyDescent="0.2">
      <c r="A41" s="11" t="s">
        <v>212</v>
      </c>
      <c r="B41" s="11" t="s">
        <v>133</v>
      </c>
      <c r="C41" s="37">
        <v>700757400</v>
      </c>
      <c r="D41" s="25" t="s">
        <v>185</v>
      </c>
      <c r="E41" s="12" t="s">
        <v>217</v>
      </c>
      <c r="F41" s="12" t="s">
        <v>270</v>
      </c>
      <c r="G41" s="13" t="s">
        <v>177</v>
      </c>
      <c r="H41" s="27">
        <v>334</v>
      </c>
      <c r="I41">
        <v>1</v>
      </c>
      <c r="J41">
        <v>6</v>
      </c>
      <c r="K41">
        <v>956</v>
      </c>
      <c r="L41" s="17">
        <f t="shared" si="0"/>
        <v>0.97947214076246336</v>
      </c>
      <c r="M41" s="27">
        <v>0</v>
      </c>
      <c r="N41">
        <v>253</v>
      </c>
      <c r="O41">
        <v>2</v>
      </c>
      <c r="P41">
        <v>607</v>
      </c>
      <c r="Q41" s="17">
        <f t="shared" si="1"/>
        <v>0</v>
      </c>
      <c r="R41" s="27">
        <v>0</v>
      </c>
      <c r="S41">
        <v>211</v>
      </c>
      <c r="T41">
        <v>5</v>
      </c>
      <c r="U41">
        <v>450</v>
      </c>
      <c r="V41" s="17">
        <f t="shared" si="2"/>
        <v>0</v>
      </c>
      <c r="W41" s="27">
        <v>0</v>
      </c>
      <c r="X41">
        <v>196</v>
      </c>
      <c r="Y41">
        <v>3</v>
      </c>
      <c r="Z41">
        <v>492</v>
      </c>
      <c r="AA41" s="17">
        <f t="shared" si="3"/>
        <v>0</v>
      </c>
      <c r="AB41" s="27">
        <v>0</v>
      </c>
      <c r="AC41">
        <v>176</v>
      </c>
      <c r="AD41">
        <v>6</v>
      </c>
      <c r="AE41">
        <v>474</v>
      </c>
      <c r="AF41" s="17">
        <f t="shared" si="4"/>
        <v>0</v>
      </c>
      <c r="AG41" s="27">
        <v>0</v>
      </c>
      <c r="AH41">
        <v>257</v>
      </c>
      <c r="AI41">
        <v>3</v>
      </c>
      <c r="AJ41">
        <v>646</v>
      </c>
      <c r="AK41" s="17">
        <f t="shared" si="6"/>
        <v>0</v>
      </c>
      <c r="AL41" s="23">
        <f t="shared" si="5"/>
        <v>0.28613627412367076</v>
      </c>
    </row>
    <row r="42" spans="1:38" x14ac:dyDescent="0.2">
      <c r="A42" s="11" t="s">
        <v>213</v>
      </c>
      <c r="B42" s="11" t="s">
        <v>132</v>
      </c>
      <c r="C42" s="37">
        <v>702783800</v>
      </c>
      <c r="D42" s="25" t="s">
        <v>185</v>
      </c>
      <c r="E42" s="12" t="s">
        <v>217</v>
      </c>
      <c r="F42" s="12" t="s">
        <v>270</v>
      </c>
      <c r="G42" s="13" t="s">
        <v>177</v>
      </c>
      <c r="H42" s="27">
        <v>351</v>
      </c>
      <c r="I42">
        <v>2</v>
      </c>
      <c r="J42">
        <v>7</v>
      </c>
      <c r="K42">
        <v>937</v>
      </c>
      <c r="L42" s="17">
        <f t="shared" si="0"/>
        <v>0.97499999999999998</v>
      </c>
      <c r="M42" s="27">
        <v>1</v>
      </c>
      <c r="N42">
        <v>256</v>
      </c>
      <c r="O42">
        <v>2</v>
      </c>
      <c r="P42">
        <v>603</v>
      </c>
      <c r="Q42" s="17">
        <f t="shared" si="1"/>
        <v>3.8610038610038611E-3</v>
      </c>
      <c r="R42" s="27">
        <v>0</v>
      </c>
      <c r="S42">
        <v>216</v>
      </c>
      <c r="T42">
        <v>5</v>
      </c>
      <c r="U42">
        <v>445</v>
      </c>
      <c r="V42" s="17">
        <f t="shared" si="2"/>
        <v>0</v>
      </c>
      <c r="W42" s="27">
        <v>0</v>
      </c>
      <c r="X42">
        <v>200</v>
      </c>
      <c r="Y42">
        <v>3</v>
      </c>
      <c r="Z42">
        <v>488</v>
      </c>
      <c r="AA42" s="17">
        <f t="shared" si="3"/>
        <v>0</v>
      </c>
      <c r="AB42" s="27">
        <v>0</v>
      </c>
      <c r="AC42">
        <v>182</v>
      </c>
      <c r="AD42">
        <v>6</v>
      </c>
      <c r="AE42">
        <v>468</v>
      </c>
      <c r="AF42" s="17">
        <f t="shared" si="4"/>
        <v>0</v>
      </c>
      <c r="AG42" s="27">
        <v>0</v>
      </c>
      <c r="AH42">
        <v>271</v>
      </c>
      <c r="AI42">
        <v>3</v>
      </c>
      <c r="AJ42">
        <v>632</v>
      </c>
      <c r="AK42" s="17">
        <f t="shared" si="6"/>
        <v>0</v>
      </c>
      <c r="AL42" s="23">
        <f t="shared" si="5"/>
        <v>0.29637652619141397</v>
      </c>
    </row>
    <row r="43" spans="1:38" x14ac:dyDescent="0.2">
      <c r="A43" s="11" t="s">
        <v>214</v>
      </c>
      <c r="B43" s="11" t="s">
        <v>131</v>
      </c>
      <c r="C43" s="37">
        <v>997217600</v>
      </c>
      <c r="D43" s="25" t="s">
        <v>185</v>
      </c>
      <c r="E43" s="12" t="s">
        <v>217</v>
      </c>
      <c r="F43" s="12" t="s">
        <v>270</v>
      </c>
      <c r="G43" s="13" t="s">
        <v>177</v>
      </c>
      <c r="H43" s="27">
        <v>433</v>
      </c>
      <c r="I43">
        <v>1</v>
      </c>
      <c r="J43">
        <v>7</v>
      </c>
      <c r="K43">
        <v>856</v>
      </c>
      <c r="L43" s="17">
        <f t="shared" si="0"/>
        <v>0.98185941043083902</v>
      </c>
      <c r="M43" s="27">
        <v>0</v>
      </c>
      <c r="N43">
        <v>316</v>
      </c>
      <c r="O43">
        <v>2</v>
      </c>
      <c r="P43">
        <v>544</v>
      </c>
      <c r="Q43" s="17">
        <f t="shared" si="1"/>
        <v>0</v>
      </c>
      <c r="R43" s="27">
        <v>0</v>
      </c>
      <c r="S43">
        <v>271</v>
      </c>
      <c r="T43">
        <v>5</v>
      </c>
      <c r="U43">
        <v>390</v>
      </c>
      <c r="V43" s="17">
        <f t="shared" si="2"/>
        <v>0</v>
      </c>
      <c r="W43" s="27">
        <v>0</v>
      </c>
      <c r="X43">
        <v>252</v>
      </c>
      <c r="Y43">
        <v>3</v>
      </c>
      <c r="Z43">
        <v>436</v>
      </c>
      <c r="AA43" s="17">
        <f t="shared" si="3"/>
        <v>0</v>
      </c>
      <c r="AB43" s="27">
        <v>0</v>
      </c>
      <c r="AC43">
        <v>211</v>
      </c>
      <c r="AD43">
        <v>6</v>
      </c>
      <c r="AE43">
        <v>439</v>
      </c>
      <c r="AF43" s="17">
        <f t="shared" si="4"/>
        <v>0</v>
      </c>
      <c r="AG43" s="27">
        <v>0</v>
      </c>
      <c r="AH43">
        <v>327</v>
      </c>
      <c r="AI43">
        <v>3</v>
      </c>
      <c r="AJ43">
        <v>576</v>
      </c>
      <c r="AK43" s="17">
        <f t="shared" si="6"/>
        <v>0</v>
      </c>
      <c r="AL43" s="23">
        <f t="shared" si="5"/>
        <v>0.3617565970854667</v>
      </c>
    </row>
    <row r="44" spans="1:38" x14ac:dyDescent="0.2">
      <c r="A44" s="11" t="s">
        <v>215</v>
      </c>
      <c r="B44" s="11" t="s">
        <v>130</v>
      </c>
      <c r="C44" s="37">
        <v>4388411600</v>
      </c>
      <c r="D44" s="25" t="s">
        <v>185</v>
      </c>
      <c r="E44" s="12" t="s">
        <v>217</v>
      </c>
      <c r="F44" s="12" t="s">
        <v>270</v>
      </c>
      <c r="G44" s="13" t="s">
        <v>177</v>
      </c>
      <c r="H44" s="27">
        <v>939</v>
      </c>
      <c r="I44">
        <v>1</v>
      </c>
      <c r="J44">
        <v>13</v>
      </c>
      <c r="K44">
        <v>344</v>
      </c>
      <c r="L44" s="17">
        <f t="shared" si="0"/>
        <v>0.98530954879328436</v>
      </c>
      <c r="M44" s="27">
        <v>0</v>
      </c>
      <c r="N44">
        <v>643</v>
      </c>
      <c r="O44">
        <v>4</v>
      </c>
      <c r="P44">
        <v>215</v>
      </c>
      <c r="Q44" s="17">
        <f t="shared" si="1"/>
        <v>0</v>
      </c>
      <c r="R44" s="27">
        <v>0</v>
      </c>
      <c r="S44">
        <v>508</v>
      </c>
      <c r="T44">
        <v>7</v>
      </c>
      <c r="U44">
        <v>151</v>
      </c>
      <c r="V44" s="17">
        <f t="shared" si="2"/>
        <v>0</v>
      </c>
      <c r="W44" s="27">
        <v>0</v>
      </c>
      <c r="X44">
        <v>517</v>
      </c>
      <c r="Y44">
        <v>8</v>
      </c>
      <c r="Z44">
        <v>166</v>
      </c>
      <c r="AA44" s="17">
        <f t="shared" si="3"/>
        <v>0</v>
      </c>
      <c r="AB44" s="27">
        <v>0</v>
      </c>
      <c r="AC44">
        <v>471</v>
      </c>
      <c r="AD44">
        <v>9</v>
      </c>
      <c r="AE44">
        <v>176</v>
      </c>
      <c r="AF44" s="17">
        <f t="shared" si="4"/>
        <v>0</v>
      </c>
      <c r="AG44" s="27">
        <v>0</v>
      </c>
      <c r="AH44">
        <v>690</v>
      </c>
      <c r="AI44">
        <v>3</v>
      </c>
      <c r="AJ44">
        <v>213</v>
      </c>
      <c r="AK44" s="17">
        <f t="shared" si="6"/>
        <v>0</v>
      </c>
      <c r="AL44" s="23">
        <f t="shared" si="5"/>
        <v>0.7508861756597085</v>
      </c>
    </row>
    <row r="45" spans="1:38" x14ac:dyDescent="0.2">
      <c r="A45" s="23" t="s">
        <v>216</v>
      </c>
      <c r="B45" s="11" t="s">
        <v>129</v>
      </c>
      <c r="C45" s="37">
        <v>298873373</v>
      </c>
      <c r="D45" s="25" t="s">
        <v>185</v>
      </c>
      <c r="E45" s="12" t="s">
        <v>217</v>
      </c>
      <c r="F45" s="12" t="s">
        <v>269</v>
      </c>
      <c r="G45" s="13" t="s">
        <v>264</v>
      </c>
      <c r="H45" s="27">
        <v>4</v>
      </c>
      <c r="I45">
        <v>1</v>
      </c>
      <c r="J45">
        <v>1</v>
      </c>
      <c r="K45">
        <v>1291</v>
      </c>
      <c r="L45" s="17">
        <f t="shared" si="0"/>
        <v>0.66666666666666663</v>
      </c>
      <c r="M45" s="27">
        <v>1</v>
      </c>
      <c r="N45">
        <v>4</v>
      </c>
      <c r="O45">
        <v>1</v>
      </c>
      <c r="P45">
        <v>856</v>
      </c>
      <c r="Q45" s="17">
        <f t="shared" si="1"/>
        <v>0.16666666666666666</v>
      </c>
      <c r="R45" s="27">
        <v>0</v>
      </c>
      <c r="S45">
        <v>4</v>
      </c>
      <c r="T45">
        <v>0</v>
      </c>
      <c r="U45">
        <v>662</v>
      </c>
      <c r="V45" s="17">
        <f t="shared" si="2"/>
        <v>0</v>
      </c>
      <c r="W45" s="27">
        <v>0</v>
      </c>
      <c r="X45">
        <v>5</v>
      </c>
      <c r="Y45">
        <v>0</v>
      </c>
      <c r="Z45">
        <v>686</v>
      </c>
      <c r="AA45" s="17">
        <f t="shared" si="3"/>
        <v>0</v>
      </c>
      <c r="AB45" s="27">
        <v>0</v>
      </c>
      <c r="AC45">
        <v>5</v>
      </c>
      <c r="AD45">
        <v>2</v>
      </c>
      <c r="AE45">
        <v>649</v>
      </c>
      <c r="AF45" s="17">
        <f t="shared" si="4"/>
        <v>0</v>
      </c>
      <c r="AG45" s="27">
        <v>0</v>
      </c>
      <c r="AH45">
        <v>3</v>
      </c>
      <c r="AI45">
        <v>0</v>
      </c>
      <c r="AJ45">
        <v>903</v>
      </c>
      <c r="AK45" s="17">
        <f t="shared" si="6"/>
        <v>0</v>
      </c>
      <c r="AL45" s="23">
        <f t="shared" si="5"/>
        <v>6.1047656557699885E-3</v>
      </c>
    </row>
    <row r="46" spans="1:38" x14ac:dyDescent="0.2">
      <c r="A46" s="11" t="s">
        <v>245</v>
      </c>
      <c r="B46" s="24" t="s">
        <v>128</v>
      </c>
      <c r="C46" s="37">
        <v>6240783265</v>
      </c>
      <c r="D46" s="25" t="s">
        <v>185</v>
      </c>
      <c r="E46" s="12" t="s">
        <v>267</v>
      </c>
      <c r="F46" s="12" t="s">
        <v>269</v>
      </c>
      <c r="G46" s="13" t="s">
        <v>259</v>
      </c>
      <c r="H46" s="27">
        <v>1282</v>
      </c>
      <c r="I46">
        <v>0</v>
      </c>
      <c r="J46">
        <v>15</v>
      </c>
      <c r="K46">
        <v>0</v>
      </c>
      <c r="L46" s="17">
        <f t="shared" si="0"/>
        <v>0.98843484965304551</v>
      </c>
      <c r="M46" s="27">
        <v>0</v>
      </c>
      <c r="N46">
        <v>857</v>
      </c>
      <c r="O46">
        <v>5</v>
      </c>
      <c r="P46">
        <v>0</v>
      </c>
      <c r="Q46" s="17">
        <f t="shared" si="1"/>
        <v>0</v>
      </c>
      <c r="R46" s="27">
        <v>0</v>
      </c>
      <c r="S46">
        <v>661</v>
      </c>
      <c r="T46">
        <v>5</v>
      </c>
      <c r="U46">
        <v>0</v>
      </c>
      <c r="V46" s="17">
        <f t="shared" si="2"/>
        <v>0</v>
      </c>
      <c r="W46" s="27">
        <v>0</v>
      </c>
      <c r="X46">
        <v>681</v>
      </c>
      <c r="Y46">
        <v>10</v>
      </c>
      <c r="Z46">
        <v>0</v>
      </c>
      <c r="AA46" s="17">
        <f t="shared" si="3"/>
        <v>0</v>
      </c>
      <c r="AB46" s="27">
        <v>0</v>
      </c>
      <c r="AC46">
        <v>646</v>
      </c>
      <c r="AD46">
        <v>10</v>
      </c>
      <c r="AE46">
        <v>0</v>
      </c>
      <c r="AF46" s="17">
        <f t="shared" si="4"/>
        <v>0</v>
      </c>
      <c r="AG46" s="27">
        <v>0</v>
      </c>
      <c r="AH46">
        <v>903</v>
      </c>
      <c r="AI46">
        <v>3</v>
      </c>
      <c r="AJ46">
        <v>0</v>
      </c>
      <c r="AK46" s="17">
        <f t="shared" si="6"/>
        <v>0</v>
      </c>
      <c r="AL46" s="23">
        <f t="shared" si="5"/>
        <v>1</v>
      </c>
    </row>
    <row r="47" spans="1:38" x14ac:dyDescent="0.2">
      <c r="A47" s="11" t="s">
        <v>246</v>
      </c>
      <c r="B47" s="11" t="s">
        <v>158</v>
      </c>
      <c r="C47" s="37">
        <v>2183209012</v>
      </c>
      <c r="D47" s="25" t="s">
        <v>185</v>
      </c>
      <c r="E47" s="12" t="s">
        <v>267</v>
      </c>
      <c r="F47" s="12" t="s">
        <v>269</v>
      </c>
      <c r="G47" s="13" t="s">
        <v>264</v>
      </c>
      <c r="H47" s="27">
        <v>1173</v>
      </c>
      <c r="I47">
        <v>0</v>
      </c>
      <c r="J47">
        <v>17</v>
      </c>
      <c r="K47">
        <v>107</v>
      </c>
      <c r="L47" s="17">
        <f t="shared" si="0"/>
        <v>0.98571428571428577</v>
      </c>
      <c r="M47" s="27">
        <v>0</v>
      </c>
      <c r="N47">
        <v>786</v>
      </c>
      <c r="O47">
        <v>6</v>
      </c>
      <c r="P47">
        <v>70</v>
      </c>
      <c r="Q47" s="17">
        <f t="shared" si="1"/>
        <v>0</v>
      </c>
      <c r="R47" s="27">
        <v>0</v>
      </c>
      <c r="S47">
        <v>594</v>
      </c>
      <c r="T47">
        <v>5</v>
      </c>
      <c r="U47">
        <v>67</v>
      </c>
      <c r="V47" s="17">
        <f t="shared" si="2"/>
        <v>0</v>
      </c>
      <c r="W47" s="27">
        <v>0</v>
      </c>
      <c r="X47">
        <v>616</v>
      </c>
      <c r="Y47">
        <v>11</v>
      </c>
      <c r="Z47">
        <v>64</v>
      </c>
      <c r="AA47" s="17">
        <f t="shared" si="3"/>
        <v>0</v>
      </c>
      <c r="AB47" s="27">
        <v>0</v>
      </c>
      <c r="AC47">
        <v>585</v>
      </c>
      <c r="AD47">
        <v>11</v>
      </c>
      <c r="AE47">
        <v>60</v>
      </c>
      <c r="AF47" s="17">
        <f t="shared" si="4"/>
        <v>0</v>
      </c>
      <c r="AG47" s="27">
        <v>0</v>
      </c>
      <c r="AH47">
        <v>837</v>
      </c>
      <c r="AI47">
        <v>3</v>
      </c>
      <c r="AJ47">
        <v>66</v>
      </c>
      <c r="AK47" s="17">
        <f t="shared" si="6"/>
        <v>0</v>
      </c>
      <c r="AL47" s="23">
        <f t="shared" si="5"/>
        <v>0.91453328081922014</v>
      </c>
    </row>
    <row r="48" spans="1:38" x14ac:dyDescent="0.2">
      <c r="A48" s="11" t="s">
        <v>247</v>
      </c>
      <c r="B48" s="24" t="s">
        <v>166</v>
      </c>
      <c r="C48" s="37">
        <v>7354653609</v>
      </c>
      <c r="D48" s="25" t="s">
        <v>171</v>
      </c>
      <c r="E48" s="12" t="s">
        <v>267</v>
      </c>
      <c r="F48" s="12" t="s">
        <v>269</v>
      </c>
      <c r="G48" s="13" t="s">
        <v>264</v>
      </c>
      <c r="H48" s="27">
        <v>0</v>
      </c>
      <c r="I48">
        <v>1266</v>
      </c>
      <c r="J48">
        <v>4</v>
      </c>
      <c r="K48">
        <v>27</v>
      </c>
      <c r="L48" s="17">
        <f t="shared" si="0"/>
        <v>0</v>
      </c>
      <c r="M48" s="27">
        <v>2</v>
      </c>
      <c r="N48">
        <v>834</v>
      </c>
      <c r="O48">
        <v>7</v>
      </c>
      <c r="P48">
        <v>19</v>
      </c>
      <c r="Q48" s="17">
        <f t="shared" si="1"/>
        <v>2.3724792408066431E-3</v>
      </c>
      <c r="R48" s="27">
        <v>1</v>
      </c>
      <c r="S48">
        <v>645</v>
      </c>
      <c r="T48">
        <v>5</v>
      </c>
      <c r="U48">
        <v>15</v>
      </c>
      <c r="V48" s="17">
        <f t="shared" si="2"/>
        <v>1.5360983102918587E-3</v>
      </c>
      <c r="W48" s="27">
        <v>0</v>
      </c>
      <c r="X48">
        <v>662</v>
      </c>
      <c r="Y48">
        <v>11</v>
      </c>
      <c r="Z48">
        <v>18</v>
      </c>
      <c r="AA48" s="17">
        <f t="shared" si="3"/>
        <v>0</v>
      </c>
      <c r="AB48" s="27">
        <v>631</v>
      </c>
      <c r="AC48">
        <v>2</v>
      </c>
      <c r="AD48">
        <v>6</v>
      </c>
      <c r="AE48">
        <v>17</v>
      </c>
      <c r="AF48" s="17">
        <f t="shared" si="4"/>
        <v>0.98748043818466358</v>
      </c>
      <c r="AG48" s="27">
        <v>0</v>
      </c>
      <c r="AH48">
        <v>874</v>
      </c>
      <c r="AI48">
        <v>5</v>
      </c>
      <c r="AJ48">
        <v>27</v>
      </c>
      <c r="AK48" s="17">
        <f t="shared" si="6"/>
        <v>0</v>
      </c>
      <c r="AL48" s="23">
        <f t="shared" si="5"/>
        <v>0.97577786530129973</v>
      </c>
    </row>
    <row r="49" spans="1:38" x14ac:dyDescent="0.2">
      <c r="A49" s="23" t="s">
        <v>248</v>
      </c>
      <c r="B49" s="11" t="s">
        <v>165</v>
      </c>
      <c r="C49" s="37">
        <v>1867961158</v>
      </c>
      <c r="D49" s="25" t="s">
        <v>175</v>
      </c>
      <c r="E49" s="12" t="s">
        <v>267</v>
      </c>
      <c r="F49" s="12" t="s">
        <v>269</v>
      </c>
      <c r="G49" s="13" t="s">
        <v>264</v>
      </c>
      <c r="H49" s="27">
        <v>0</v>
      </c>
      <c r="I49">
        <v>15</v>
      </c>
      <c r="J49">
        <v>2</v>
      </c>
      <c r="K49">
        <v>1280</v>
      </c>
      <c r="L49" s="17">
        <f t="shared" si="0"/>
        <v>0</v>
      </c>
      <c r="M49" s="27">
        <v>0</v>
      </c>
      <c r="N49">
        <v>12</v>
      </c>
      <c r="O49">
        <v>3</v>
      </c>
      <c r="P49">
        <v>847</v>
      </c>
      <c r="Q49" s="17">
        <f t="shared" si="1"/>
        <v>0</v>
      </c>
      <c r="R49" s="27">
        <v>12</v>
      </c>
      <c r="S49">
        <v>0</v>
      </c>
      <c r="T49">
        <v>7</v>
      </c>
      <c r="U49">
        <v>647</v>
      </c>
      <c r="V49" s="17">
        <f t="shared" si="2"/>
        <v>0.63157894736842102</v>
      </c>
      <c r="W49" s="27">
        <v>0</v>
      </c>
      <c r="X49">
        <v>11</v>
      </c>
      <c r="Y49">
        <v>5</v>
      </c>
      <c r="Z49">
        <v>675</v>
      </c>
      <c r="AA49" s="17">
        <f t="shared" si="3"/>
        <v>0</v>
      </c>
      <c r="AB49" s="27">
        <v>0</v>
      </c>
      <c r="AC49">
        <v>11</v>
      </c>
      <c r="AD49">
        <v>9</v>
      </c>
      <c r="AE49">
        <v>636</v>
      </c>
      <c r="AF49" s="17">
        <f t="shared" si="4"/>
        <v>0</v>
      </c>
      <c r="AG49" s="27">
        <v>0</v>
      </c>
      <c r="AH49">
        <v>11</v>
      </c>
      <c r="AI49">
        <v>1</v>
      </c>
      <c r="AJ49">
        <v>894</v>
      </c>
      <c r="AK49" s="17">
        <f t="shared" si="6"/>
        <v>0</v>
      </c>
      <c r="AL49" s="23">
        <f t="shared" si="5"/>
        <v>1.9495864513588028E-2</v>
      </c>
    </row>
    <row r="50" spans="1:38" x14ac:dyDescent="0.2">
      <c r="A50" s="11" t="s">
        <v>249</v>
      </c>
      <c r="B50" s="11" t="s">
        <v>127</v>
      </c>
      <c r="C50" s="37">
        <v>869319604</v>
      </c>
      <c r="D50" s="25" t="s">
        <v>185</v>
      </c>
      <c r="E50" s="12" t="s">
        <v>267</v>
      </c>
      <c r="F50" s="12" t="s">
        <v>269</v>
      </c>
      <c r="G50" s="13" t="s">
        <v>265</v>
      </c>
      <c r="H50" s="27">
        <v>740</v>
      </c>
      <c r="I50">
        <v>0</v>
      </c>
      <c r="J50">
        <v>15</v>
      </c>
      <c r="K50">
        <v>542</v>
      </c>
      <c r="L50" s="17">
        <f t="shared" si="0"/>
        <v>0.98013245033112584</v>
      </c>
      <c r="M50" s="27">
        <v>0</v>
      </c>
      <c r="N50">
        <v>495</v>
      </c>
      <c r="O50">
        <v>5</v>
      </c>
      <c r="P50">
        <v>362</v>
      </c>
      <c r="Q50" s="17">
        <f t="shared" si="1"/>
        <v>0</v>
      </c>
      <c r="R50" s="27">
        <v>1</v>
      </c>
      <c r="S50">
        <v>403</v>
      </c>
      <c r="T50">
        <v>4</v>
      </c>
      <c r="U50">
        <v>258</v>
      </c>
      <c r="V50" s="17">
        <f t="shared" si="2"/>
        <v>2.4509803921568627E-3</v>
      </c>
      <c r="W50" s="27">
        <v>1</v>
      </c>
      <c r="X50">
        <v>400</v>
      </c>
      <c r="Y50">
        <v>9</v>
      </c>
      <c r="Z50">
        <v>281</v>
      </c>
      <c r="AA50" s="17">
        <f t="shared" si="3"/>
        <v>2.4390243902439024E-3</v>
      </c>
      <c r="AB50" s="27">
        <v>0</v>
      </c>
      <c r="AC50">
        <v>381</v>
      </c>
      <c r="AD50">
        <v>10</v>
      </c>
      <c r="AE50">
        <v>265</v>
      </c>
      <c r="AF50" s="17">
        <f t="shared" si="4"/>
        <v>0</v>
      </c>
      <c r="AG50" s="27">
        <v>0</v>
      </c>
      <c r="AH50">
        <v>516</v>
      </c>
      <c r="AI50">
        <v>3</v>
      </c>
      <c r="AJ50">
        <v>387</v>
      </c>
      <c r="AK50" s="17">
        <f t="shared" si="6"/>
        <v>0</v>
      </c>
      <c r="AL50" s="23">
        <f t="shared" si="5"/>
        <v>0.58743599842457661</v>
      </c>
    </row>
    <row r="51" spans="1:38" x14ac:dyDescent="0.2">
      <c r="A51" s="11" t="s">
        <v>250</v>
      </c>
      <c r="B51" s="11" t="s">
        <v>156</v>
      </c>
      <c r="C51" s="37">
        <v>10824887339</v>
      </c>
      <c r="D51" s="25" t="s">
        <v>185</v>
      </c>
      <c r="E51" s="12" t="s">
        <v>267</v>
      </c>
      <c r="F51" s="12" t="s">
        <v>269</v>
      </c>
      <c r="G51" s="13" t="s">
        <v>259</v>
      </c>
      <c r="H51" s="27">
        <v>1114</v>
      </c>
      <c r="I51">
        <v>0</v>
      </c>
      <c r="J51">
        <v>23</v>
      </c>
      <c r="K51">
        <v>160</v>
      </c>
      <c r="L51" s="17">
        <f t="shared" si="0"/>
        <v>0.97977132805628853</v>
      </c>
      <c r="M51" s="27">
        <v>0</v>
      </c>
      <c r="N51">
        <v>751</v>
      </c>
      <c r="O51">
        <v>7</v>
      </c>
      <c r="P51">
        <v>104</v>
      </c>
      <c r="Q51" s="17">
        <f t="shared" si="1"/>
        <v>0</v>
      </c>
      <c r="R51" s="27">
        <v>0</v>
      </c>
      <c r="S51">
        <v>564</v>
      </c>
      <c r="T51">
        <v>15</v>
      </c>
      <c r="U51">
        <v>87</v>
      </c>
      <c r="V51" s="17">
        <f t="shared" si="2"/>
        <v>0</v>
      </c>
      <c r="W51" s="27">
        <v>0</v>
      </c>
      <c r="X51">
        <v>602</v>
      </c>
      <c r="Y51">
        <v>14</v>
      </c>
      <c r="Z51">
        <v>75</v>
      </c>
      <c r="AA51" s="17">
        <f t="shared" si="3"/>
        <v>0</v>
      </c>
      <c r="AB51" s="27">
        <v>0</v>
      </c>
      <c r="AC51">
        <v>559</v>
      </c>
      <c r="AD51">
        <v>14</v>
      </c>
      <c r="AE51">
        <v>83</v>
      </c>
      <c r="AF51" s="17">
        <f t="shared" si="4"/>
        <v>0</v>
      </c>
      <c r="AG51" s="27">
        <v>0</v>
      </c>
      <c r="AH51">
        <v>800</v>
      </c>
      <c r="AI51">
        <v>5</v>
      </c>
      <c r="AJ51">
        <v>101</v>
      </c>
      <c r="AK51" s="17">
        <f t="shared" si="6"/>
        <v>0</v>
      </c>
      <c r="AL51" s="23">
        <f t="shared" si="5"/>
        <v>0.87987396612839697</v>
      </c>
    </row>
    <row r="52" spans="1:38" x14ac:dyDescent="0.2">
      <c r="A52" s="11" t="s">
        <v>260</v>
      </c>
      <c r="B52" s="11" t="s">
        <v>257</v>
      </c>
      <c r="C52" s="37">
        <v>2460871468</v>
      </c>
      <c r="D52" s="25" t="s">
        <v>175</v>
      </c>
      <c r="E52" s="12" t="s">
        <v>217</v>
      </c>
      <c r="F52" s="12" t="s">
        <v>269</v>
      </c>
      <c r="G52" s="13" t="s">
        <v>264</v>
      </c>
      <c r="H52" s="27">
        <v>1</v>
      </c>
      <c r="I52">
        <v>298</v>
      </c>
      <c r="J52">
        <v>2</v>
      </c>
      <c r="K52">
        <v>996</v>
      </c>
      <c r="L52" s="17">
        <f t="shared" si="0"/>
        <v>3.3222591362126247E-3</v>
      </c>
      <c r="M52" s="27">
        <v>0</v>
      </c>
      <c r="N52">
        <v>190</v>
      </c>
      <c r="O52">
        <v>7</v>
      </c>
      <c r="P52">
        <v>665</v>
      </c>
      <c r="Q52" s="17">
        <f t="shared" si="1"/>
        <v>0</v>
      </c>
      <c r="R52" s="27">
        <v>167</v>
      </c>
      <c r="S52">
        <v>0</v>
      </c>
      <c r="T52">
        <v>6</v>
      </c>
      <c r="U52">
        <v>493</v>
      </c>
      <c r="V52" s="17">
        <f t="shared" si="2"/>
        <v>0.96531791907514453</v>
      </c>
      <c r="W52" s="27">
        <v>1</v>
      </c>
      <c r="X52">
        <v>164</v>
      </c>
      <c r="Y52">
        <v>9</v>
      </c>
      <c r="Z52">
        <v>517</v>
      </c>
      <c r="AA52" s="17">
        <f t="shared" si="3"/>
        <v>5.7471264367816091E-3</v>
      </c>
      <c r="AB52" s="27">
        <v>0</v>
      </c>
      <c r="AC52">
        <v>171</v>
      </c>
      <c r="AD52">
        <v>9</v>
      </c>
      <c r="AE52">
        <v>476</v>
      </c>
      <c r="AF52" s="17">
        <f t="shared" si="4"/>
        <v>0</v>
      </c>
      <c r="AG52" s="27">
        <v>0</v>
      </c>
      <c r="AH52">
        <v>221</v>
      </c>
      <c r="AI52">
        <v>3</v>
      </c>
      <c r="AJ52">
        <v>682</v>
      </c>
      <c r="AK52" s="17">
        <f t="shared" si="6"/>
        <v>0</v>
      </c>
      <c r="AL52" s="23">
        <f t="shared" si="5"/>
        <v>0.24596297755021662</v>
      </c>
    </row>
    <row r="53" spans="1:38" x14ac:dyDescent="0.2">
      <c r="A53" s="14" t="s">
        <v>261</v>
      </c>
      <c r="B53" s="20" t="s">
        <v>258</v>
      </c>
      <c r="C53" s="38">
        <v>2515073679</v>
      </c>
      <c r="D53" s="26" t="s">
        <v>175</v>
      </c>
      <c r="E53" s="15" t="s">
        <v>217</v>
      </c>
      <c r="F53" s="15" t="s">
        <v>269</v>
      </c>
      <c r="G53" s="16" t="s">
        <v>264</v>
      </c>
      <c r="H53" s="28">
        <v>0</v>
      </c>
      <c r="I53" s="6">
        <v>232</v>
      </c>
      <c r="J53" s="6">
        <v>5</v>
      </c>
      <c r="K53" s="6">
        <v>1060</v>
      </c>
      <c r="L53" s="18">
        <f t="shared" si="0"/>
        <v>0</v>
      </c>
      <c r="M53" s="28">
        <v>1</v>
      </c>
      <c r="N53" s="6">
        <v>157</v>
      </c>
      <c r="O53" s="6">
        <v>5</v>
      </c>
      <c r="P53" s="6">
        <v>699</v>
      </c>
      <c r="Q53" s="18">
        <f t="shared" si="1"/>
        <v>6.1349693251533744E-3</v>
      </c>
      <c r="R53" s="28">
        <v>131</v>
      </c>
      <c r="S53" s="6">
        <v>0</v>
      </c>
      <c r="T53" s="6">
        <v>5</v>
      </c>
      <c r="U53" s="6">
        <v>530</v>
      </c>
      <c r="V53" s="18">
        <f t="shared" si="2"/>
        <v>0.96323529411764708</v>
      </c>
      <c r="W53" s="28">
        <v>1</v>
      </c>
      <c r="X53" s="6">
        <v>143</v>
      </c>
      <c r="Y53" s="6">
        <v>8</v>
      </c>
      <c r="Z53" s="6">
        <v>539</v>
      </c>
      <c r="AA53" s="18">
        <f t="shared" si="3"/>
        <v>6.5789473684210523E-3</v>
      </c>
      <c r="AB53" s="28">
        <v>0</v>
      </c>
      <c r="AC53" s="6">
        <v>112</v>
      </c>
      <c r="AD53" s="6">
        <v>8</v>
      </c>
      <c r="AE53" s="6">
        <v>536</v>
      </c>
      <c r="AF53" s="18">
        <f t="shared" si="4"/>
        <v>0</v>
      </c>
      <c r="AG53" s="28">
        <v>0</v>
      </c>
      <c r="AH53" s="6">
        <v>165</v>
      </c>
      <c r="AI53" s="6">
        <v>4</v>
      </c>
      <c r="AJ53" s="6">
        <v>737</v>
      </c>
      <c r="AK53" s="18">
        <f t="shared" si="6"/>
        <v>0</v>
      </c>
      <c r="AL53" s="29">
        <f t="shared" si="5"/>
        <v>0.19239858211894448</v>
      </c>
    </row>
    <row r="54" spans="1:38" ht="17" x14ac:dyDescent="0.2">
      <c r="C54" s="1"/>
    </row>
    <row r="56" spans="1:38" x14ac:dyDescent="0.2">
      <c r="A56" s="2" t="s">
        <v>285</v>
      </c>
    </row>
  </sheetData>
  <autoFilter ref="A1:AL53" xr:uid="{50B866F2-0D06-6141-B3C0-24FF15235FF0}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DBD1-B2E1-3D49-8C5A-609D4EA1027F}">
  <dimension ref="A1:AA46"/>
  <sheetViews>
    <sheetView workbookViewId="0">
      <selection activeCell="B46" sqref="B46"/>
    </sheetView>
  </sheetViews>
  <sheetFormatPr baseColWidth="10" defaultRowHeight="16" x14ac:dyDescent="0.2"/>
  <cols>
    <col min="1" max="1" width="26" bestFit="1" customWidth="1"/>
    <col min="3" max="3" width="16.1640625" customWidth="1"/>
  </cols>
  <sheetData>
    <row r="1" spans="1:27" x14ac:dyDescent="0.2">
      <c r="A1" s="8" t="s">
        <v>0</v>
      </c>
      <c r="B1" s="9" t="s">
        <v>68</v>
      </c>
      <c r="C1" s="10" t="s">
        <v>167</v>
      </c>
      <c r="D1" s="19" t="s">
        <v>1</v>
      </c>
      <c r="E1" s="9" t="s">
        <v>2</v>
      </c>
      <c r="F1" s="9" t="s">
        <v>3</v>
      </c>
      <c r="G1" s="10" t="s">
        <v>4</v>
      </c>
      <c r="H1" s="19" t="s">
        <v>5</v>
      </c>
      <c r="I1" s="9" t="s">
        <v>6</v>
      </c>
      <c r="J1" s="9" t="s">
        <v>7</v>
      </c>
      <c r="K1" s="10" t="s">
        <v>8</v>
      </c>
      <c r="L1" s="19" t="s">
        <v>9</v>
      </c>
      <c r="M1" s="9" t="s">
        <v>10</v>
      </c>
      <c r="N1" s="9" t="s">
        <v>11</v>
      </c>
      <c r="O1" s="10" t="s">
        <v>12</v>
      </c>
      <c r="P1" s="19" t="s">
        <v>13</v>
      </c>
      <c r="Q1" s="9" t="s">
        <v>14</v>
      </c>
      <c r="R1" s="9" t="s">
        <v>15</v>
      </c>
      <c r="S1" s="10" t="s">
        <v>16</v>
      </c>
      <c r="T1" s="19" t="s">
        <v>17</v>
      </c>
      <c r="U1" s="9" t="s">
        <v>18</v>
      </c>
      <c r="V1" s="9" t="s">
        <v>19</v>
      </c>
      <c r="W1" s="10" t="s">
        <v>20</v>
      </c>
      <c r="X1" s="9" t="s">
        <v>21</v>
      </c>
      <c r="Y1" s="9" t="s">
        <v>22</v>
      </c>
      <c r="Z1" s="9" t="s">
        <v>23</v>
      </c>
      <c r="AA1" s="10" t="s">
        <v>24</v>
      </c>
    </row>
    <row r="2" spans="1:27" x14ac:dyDescent="0.2">
      <c r="A2" s="11" t="s">
        <v>25</v>
      </c>
      <c r="B2" s="12" t="s">
        <v>91</v>
      </c>
      <c r="C2" s="40">
        <v>1363875150</v>
      </c>
      <c r="D2" s="3">
        <v>72</v>
      </c>
      <c r="E2">
        <v>1157</v>
      </c>
      <c r="F2">
        <v>4</v>
      </c>
      <c r="G2" s="4">
        <v>64</v>
      </c>
      <c r="H2" s="3">
        <v>73</v>
      </c>
      <c r="I2">
        <v>726</v>
      </c>
      <c r="J2">
        <v>6</v>
      </c>
      <c r="K2" s="4">
        <v>57</v>
      </c>
      <c r="L2" s="3">
        <v>21</v>
      </c>
      <c r="M2">
        <v>596</v>
      </c>
      <c r="N2">
        <v>6</v>
      </c>
      <c r="O2" s="4">
        <v>43</v>
      </c>
      <c r="P2" s="3">
        <v>16</v>
      </c>
      <c r="Q2">
        <v>622</v>
      </c>
      <c r="R2">
        <v>10</v>
      </c>
      <c r="S2" s="4">
        <v>43</v>
      </c>
      <c r="T2" s="3">
        <v>82</v>
      </c>
      <c r="U2">
        <v>512</v>
      </c>
      <c r="V2">
        <v>9</v>
      </c>
      <c r="W2" s="4">
        <v>53</v>
      </c>
      <c r="X2">
        <v>37</v>
      </c>
      <c r="Y2">
        <v>800</v>
      </c>
      <c r="Z2">
        <v>5</v>
      </c>
      <c r="AA2" s="4">
        <v>64</v>
      </c>
    </row>
    <row r="3" spans="1:27" x14ac:dyDescent="0.2">
      <c r="A3" s="11" t="s">
        <v>26</v>
      </c>
      <c r="B3" s="2" t="s">
        <v>74</v>
      </c>
      <c r="C3" s="40">
        <v>2202472458</v>
      </c>
      <c r="D3" s="3">
        <v>17</v>
      </c>
      <c r="E3">
        <v>1252</v>
      </c>
      <c r="F3">
        <v>5</v>
      </c>
      <c r="G3" s="4">
        <v>23</v>
      </c>
      <c r="H3" s="3">
        <v>13</v>
      </c>
      <c r="I3">
        <v>812</v>
      </c>
      <c r="J3">
        <v>7</v>
      </c>
      <c r="K3" s="4">
        <v>30</v>
      </c>
      <c r="L3" s="3">
        <v>179</v>
      </c>
      <c r="M3">
        <v>468</v>
      </c>
      <c r="N3">
        <v>5</v>
      </c>
      <c r="O3" s="4">
        <v>14</v>
      </c>
      <c r="P3" s="3">
        <v>63</v>
      </c>
      <c r="Q3">
        <v>594</v>
      </c>
      <c r="R3">
        <v>7</v>
      </c>
      <c r="S3" s="4">
        <v>27</v>
      </c>
      <c r="T3" s="3">
        <v>21</v>
      </c>
      <c r="U3">
        <v>603</v>
      </c>
      <c r="V3">
        <v>10</v>
      </c>
      <c r="W3" s="4">
        <v>22</v>
      </c>
      <c r="X3">
        <v>16</v>
      </c>
      <c r="Y3">
        <v>850</v>
      </c>
      <c r="Z3">
        <v>5</v>
      </c>
      <c r="AA3" s="4">
        <v>35</v>
      </c>
    </row>
    <row r="4" spans="1:27" x14ac:dyDescent="0.2">
      <c r="A4" s="11" t="s">
        <v>27</v>
      </c>
      <c r="B4" s="12" t="s">
        <v>109</v>
      </c>
      <c r="C4" s="40">
        <v>1580951000</v>
      </c>
      <c r="D4" s="3">
        <v>13</v>
      </c>
      <c r="E4">
        <v>1070</v>
      </c>
      <c r="F4">
        <v>179</v>
      </c>
      <c r="G4" s="4">
        <v>35</v>
      </c>
      <c r="H4" s="3">
        <v>6</v>
      </c>
      <c r="I4">
        <v>724</v>
      </c>
      <c r="J4">
        <v>99</v>
      </c>
      <c r="K4" s="4">
        <v>33</v>
      </c>
      <c r="L4" s="3">
        <v>5</v>
      </c>
      <c r="M4">
        <v>565</v>
      </c>
      <c r="N4">
        <v>74</v>
      </c>
      <c r="O4" s="4">
        <v>22</v>
      </c>
      <c r="P4" s="3">
        <v>1</v>
      </c>
      <c r="Q4">
        <v>604</v>
      </c>
      <c r="R4">
        <v>62</v>
      </c>
      <c r="S4" s="4">
        <v>24</v>
      </c>
      <c r="T4" s="3">
        <v>7</v>
      </c>
      <c r="U4">
        <v>539</v>
      </c>
      <c r="V4">
        <v>86</v>
      </c>
      <c r="W4" s="4">
        <v>24</v>
      </c>
      <c r="X4">
        <v>6</v>
      </c>
      <c r="Y4">
        <v>737</v>
      </c>
      <c r="Z4">
        <v>130</v>
      </c>
      <c r="AA4" s="4">
        <v>33</v>
      </c>
    </row>
    <row r="5" spans="1:27" x14ac:dyDescent="0.2">
      <c r="A5" s="11" t="s">
        <v>28</v>
      </c>
      <c r="B5" s="2" t="s">
        <v>84</v>
      </c>
      <c r="C5" s="40">
        <v>2526516818</v>
      </c>
      <c r="D5" s="3">
        <v>26</v>
      </c>
      <c r="E5">
        <v>1248</v>
      </c>
      <c r="F5">
        <v>4</v>
      </c>
      <c r="G5" s="4">
        <v>19</v>
      </c>
      <c r="H5" s="3">
        <v>19</v>
      </c>
      <c r="I5">
        <v>812</v>
      </c>
      <c r="J5">
        <v>5</v>
      </c>
      <c r="K5" s="4">
        <v>26</v>
      </c>
      <c r="L5" s="3">
        <v>180</v>
      </c>
      <c r="M5">
        <v>464</v>
      </c>
      <c r="N5">
        <v>6</v>
      </c>
      <c r="O5" s="4">
        <v>16</v>
      </c>
      <c r="P5" s="3">
        <v>55</v>
      </c>
      <c r="Q5">
        <v>604</v>
      </c>
      <c r="R5">
        <v>7</v>
      </c>
      <c r="S5" s="4">
        <v>25</v>
      </c>
      <c r="T5" s="3">
        <v>26</v>
      </c>
      <c r="U5">
        <v>595</v>
      </c>
      <c r="V5">
        <v>9</v>
      </c>
      <c r="W5" s="4">
        <v>26</v>
      </c>
      <c r="X5">
        <v>21</v>
      </c>
      <c r="Y5">
        <v>850</v>
      </c>
      <c r="Z5">
        <v>4</v>
      </c>
      <c r="AA5" s="4">
        <v>31</v>
      </c>
    </row>
    <row r="6" spans="1:27" x14ac:dyDescent="0.2">
      <c r="A6" s="11" t="s">
        <v>29</v>
      </c>
      <c r="B6" s="12" t="s">
        <v>76</v>
      </c>
      <c r="C6" s="40">
        <v>2930142920</v>
      </c>
      <c r="D6" s="3">
        <v>77</v>
      </c>
      <c r="E6">
        <v>1165</v>
      </c>
      <c r="F6">
        <v>5</v>
      </c>
      <c r="G6" s="4">
        <v>50</v>
      </c>
      <c r="H6" s="3">
        <v>45</v>
      </c>
      <c r="I6">
        <v>776</v>
      </c>
      <c r="J6">
        <v>5</v>
      </c>
      <c r="K6" s="4">
        <v>36</v>
      </c>
      <c r="L6" s="3">
        <v>31</v>
      </c>
      <c r="M6">
        <v>598</v>
      </c>
      <c r="N6">
        <v>6</v>
      </c>
      <c r="O6" s="4">
        <v>31</v>
      </c>
      <c r="P6" s="3">
        <v>26</v>
      </c>
      <c r="Q6">
        <v>620</v>
      </c>
      <c r="R6">
        <v>9</v>
      </c>
      <c r="S6" s="4">
        <v>36</v>
      </c>
      <c r="T6" s="3">
        <v>37</v>
      </c>
      <c r="U6">
        <v>574</v>
      </c>
      <c r="V6">
        <v>10</v>
      </c>
      <c r="W6" s="4">
        <v>35</v>
      </c>
      <c r="X6">
        <v>50</v>
      </c>
      <c r="Y6">
        <v>801</v>
      </c>
      <c r="Z6">
        <v>4</v>
      </c>
      <c r="AA6" s="4">
        <v>51</v>
      </c>
    </row>
    <row r="7" spans="1:27" x14ac:dyDescent="0.2">
      <c r="A7" s="11" t="s">
        <v>30</v>
      </c>
      <c r="B7" s="12" t="s">
        <v>82</v>
      </c>
      <c r="C7" s="40">
        <v>2883629790</v>
      </c>
      <c r="D7" s="3">
        <v>26</v>
      </c>
      <c r="E7">
        <v>1250</v>
      </c>
      <c r="F7">
        <v>6</v>
      </c>
      <c r="G7" s="4">
        <v>15</v>
      </c>
      <c r="H7" s="3">
        <v>22</v>
      </c>
      <c r="I7">
        <v>813</v>
      </c>
      <c r="J7">
        <v>5</v>
      </c>
      <c r="K7" s="4">
        <v>22</v>
      </c>
      <c r="L7" s="3">
        <v>168</v>
      </c>
      <c r="M7">
        <v>481</v>
      </c>
      <c r="N7">
        <v>6</v>
      </c>
      <c r="O7" s="4">
        <v>11</v>
      </c>
      <c r="P7" s="3">
        <v>68</v>
      </c>
      <c r="Q7">
        <v>600</v>
      </c>
      <c r="R7">
        <v>8</v>
      </c>
      <c r="S7" s="4">
        <v>15</v>
      </c>
      <c r="T7" s="3">
        <v>25</v>
      </c>
      <c r="U7">
        <v>603</v>
      </c>
      <c r="V7">
        <v>10</v>
      </c>
      <c r="W7" s="4">
        <v>18</v>
      </c>
      <c r="X7">
        <v>16</v>
      </c>
      <c r="Y7">
        <v>859</v>
      </c>
      <c r="Z7">
        <v>4</v>
      </c>
      <c r="AA7" s="4">
        <v>27</v>
      </c>
    </row>
    <row r="8" spans="1:27" x14ac:dyDescent="0.2">
      <c r="A8" s="11" t="s">
        <v>31</v>
      </c>
      <c r="B8" s="2" t="s">
        <v>99</v>
      </c>
      <c r="C8" s="40">
        <v>2079131000</v>
      </c>
      <c r="D8" s="3">
        <v>43</v>
      </c>
      <c r="E8">
        <v>1110</v>
      </c>
      <c r="F8">
        <v>124</v>
      </c>
      <c r="G8" s="4">
        <v>20</v>
      </c>
      <c r="H8" s="3">
        <v>19</v>
      </c>
      <c r="I8">
        <v>756</v>
      </c>
      <c r="J8">
        <v>66</v>
      </c>
      <c r="K8" s="4">
        <v>21</v>
      </c>
      <c r="L8" s="3">
        <v>9</v>
      </c>
      <c r="M8">
        <v>611</v>
      </c>
      <c r="N8">
        <v>33</v>
      </c>
      <c r="O8" s="4">
        <v>13</v>
      </c>
      <c r="P8" s="3">
        <v>12</v>
      </c>
      <c r="Q8">
        <v>630</v>
      </c>
      <c r="R8">
        <v>35</v>
      </c>
      <c r="S8" s="4">
        <v>14</v>
      </c>
      <c r="T8" s="3">
        <v>12</v>
      </c>
      <c r="U8">
        <v>576</v>
      </c>
      <c r="V8">
        <v>49</v>
      </c>
      <c r="W8" s="4">
        <v>19</v>
      </c>
      <c r="X8">
        <v>23</v>
      </c>
      <c r="Y8">
        <v>782</v>
      </c>
      <c r="Z8">
        <v>82</v>
      </c>
      <c r="AA8" s="4">
        <v>19</v>
      </c>
    </row>
    <row r="9" spans="1:27" x14ac:dyDescent="0.2">
      <c r="A9" s="11" t="s">
        <v>32</v>
      </c>
      <c r="B9" s="12" t="s">
        <v>83</v>
      </c>
      <c r="C9" s="40">
        <v>1463140944</v>
      </c>
      <c r="D9" s="3">
        <v>26</v>
      </c>
      <c r="E9">
        <v>1220</v>
      </c>
      <c r="F9">
        <v>3</v>
      </c>
      <c r="G9" s="4">
        <v>48</v>
      </c>
      <c r="H9" s="3">
        <v>14</v>
      </c>
      <c r="I9">
        <v>805</v>
      </c>
      <c r="J9">
        <v>5</v>
      </c>
      <c r="K9" s="4">
        <v>38</v>
      </c>
      <c r="L9" s="3">
        <v>174</v>
      </c>
      <c r="M9">
        <v>453</v>
      </c>
      <c r="N9">
        <v>3</v>
      </c>
      <c r="O9" s="4">
        <v>36</v>
      </c>
      <c r="P9" s="3">
        <v>75</v>
      </c>
      <c r="Q9">
        <v>572</v>
      </c>
      <c r="R9">
        <v>7</v>
      </c>
      <c r="S9" s="4">
        <v>37</v>
      </c>
      <c r="T9" s="3">
        <v>22</v>
      </c>
      <c r="U9">
        <v>586</v>
      </c>
      <c r="V9">
        <v>11</v>
      </c>
      <c r="W9" s="4">
        <v>37</v>
      </c>
      <c r="X9">
        <v>19</v>
      </c>
      <c r="Y9">
        <v>840</v>
      </c>
      <c r="Z9">
        <v>4</v>
      </c>
      <c r="AA9" s="4">
        <v>43</v>
      </c>
    </row>
    <row r="10" spans="1:27" x14ac:dyDescent="0.2">
      <c r="A10" s="11" t="s">
        <v>33</v>
      </c>
      <c r="B10" s="12" t="s">
        <v>93</v>
      </c>
      <c r="C10" s="40">
        <v>1114354650</v>
      </c>
      <c r="D10" s="3">
        <v>65</v>
      </c>
      <c r="E10">
        <v>1027</v>
      </c>
      <c r="F10">
        <v>3</v>
      </c>
      <c r="G10" s="4">
        <v>202</v>
      </c>
      <c r="H10" s="3">
        <v>62</v>
      </c>
      <c r="I10">
        <v>656</v>
      </c>
      <c r="J10">
        <v>5</v>
      </c>
      <c r="K10" s="4">
        <v>139</v>
      </c>
      <c r="L10" s="3">
        <v>20</v>
      </c>
      <c r="M10">
        <v>513</v>
      </c>
      <c r="N10">
        <v>5</v>
      </c>
      <c r="O10" s="4">
        <v>128</v>
      </c>
      <c r="P10" s="3">
        <v>19</v>
      </c>
      <c r="Q10">
        <v>549</v>
      </c>
      <c r="R10">
        <v>9</v>
      </c>
      <c r="S10" s="4">
        <v>114</v>
      </c>
      <c r="T10" s="3">
        <v>63</v>
      </c>
      <c r="U10">
        <v>451</v>
      </c>
      <c r="V10">
        <v>11</v>
      </c>
      <c r="W10" s="4">
        <v>131</v>
      </c>
      <c r="X10">
        <v>39</v>
      </c>
      <c r="Y10">
        <v>705</v>
      </c>
      <c r="Z10">
        <v>5</v>
      </c>
      <c r="AA10" s="4">
        <v>157</v>
      </c>
    </row>
    <row r="11" spans="1:27" x14ac:dyDescent="0.2">
      <c r="A11" s="11" t="s">
        <v>34</v>
      </c>
      <c r="B11" s="12" t="s">
        <v>89</v>
      </c>
      <c r="C11" s="40">
        <v>1338474888</v>
      </c>
      <c r="D11" s="3">
        <v>32</v>
      </c>
      <c r="E11">
        <v>382</v>
      </c>
      <c r="F11">
        <v>3</v>
      </c>
      <c r="G11" s="4">
        <v>880</v>
      </c>
      <c r="H11" s="3">
        <v>26</v>
      </c>
      <c r="I11">
        <v>285</v>
      </c>
      <c r="J11">
        <v>3</v>
      </c>
      <c r="K11" s="4">
        <v>548</v>
      </c>
      <c r="L11" s="3">
        <v>10</v>
      </c>
      <c r="M11">
        <v>220</v>
      </c>
      <c r="N11">
        <v>4</v>
      </c>
      <c r="O11" s="4">
        <v>432</v>
      </c>
      <c r="P11" s="3">
        <v>9</v>
      </c>
      <c r="Q11">
        <v>246</v>
      </c>
      <c r="R11">
        <v>8</v>
      </c>
      <c r="S11" s="4">
        <v>428</v>
      </c>
      <c r="T11" s="3">
        <v>12</v>
      </c>
      <c r="U11">
        <v>190</v>
      </c>
      <c r="V11">
        <v>12</v>
      </c>
      <c r="W11" s="4">
        <v>442</v>
      </c>
      <c r="X11">
        <v>20</v>
      </c>
      <c r="Y11">
        <v>313</v>
      </c>
      <c r="Z11">
        <v>4</v>
      </c>
      <c r="AA11" s="4">
        <v>569</v>
      </c>
    </row>
    <row r="12" spans="1:27" x14ac:dyDescent="0.2">
      <c r="A12" s="11" t="s">
        <v>35</v>
      </c>
      <c r="B12" s="12" t="s">
        <v>106</v>
      </c>
      <c r="C12" s="40">
        <v>5491376656</v>
      </c>
      <c r="D12" s="3">
        <v>56</v>
      </c>
      <c r="E12">
        <v>1213</v>
      </c>
      <c r="F12">
        <v>4</v>
      </c>
      <c r="G12" s="4">
        <v>24</v>
      </c>
      <c r="H12" s="3">
        <v>209</v>
      </c>
      <c r="I12">
        <v>630</v>
      </c>
      <c r="J12">
        <v>3</v>
      </c>
      <c r="K12" s="4">
        <v>20</v>
      </c>
      <c r="L12" s="3">
        <v>24</v>
      </c>
      <c r="M12">
        <v>621</v>
      </c>
      <c r="N12">
        <v>5</v>
      </c>
      <c r="O12" s="4">
        <v>16</v>
      </c>
      <c r="P12" s="3">
        <v>22</v>
      </c>
      <c r="Q12">
        <v>641</v>
      </c>
      <c r="R12">
        <v>10</v>
      </c>
      <c r="S12" s="4">
        <v>18</v>
      </c>
      <c r="T12" s="3">
        <v>79</v>
      </c>
      <c r="U12">
        <v>545</v>
      </c>
      <c r="V12">
        <v>9</v>
      </c>
      <c r="W12" s="4">
        <v>23</v>
      </c>
      <c r="X12">
        <v>33</v>
      </c>
      <c r="Y12">
        <v>851</v>
      </c>
      <c r="Z12">
        <v>4</v>
      </c>
      <c r="AA12" s="4">
        <v>18</v>
      </c>
    </row>
    <row r="13" spans="1:27" x14ac:dyDescent="0.2">
      <c r="A13" s="11" t="s">
        <v>36</v>
      </c>
      <c r="B13" s="12" t="s">
        <v>81</v>
      </c>
      <c r="C13" s="40">
        <v>2505785760</v>
      </c>
      <c r="D13" s="3">
        <v>93</v>
      </c>
      <c r="E13">
        <v>1160</v>
      </c>
      <c r="F13">
        <v>3</v>
      </c>
      <c r="G13" s="4">
        <v>41</v>
      </c>
      <c r="H13" s="3">
        <v>59</v>
      </c>
      <c r="I13">
        <v>758</v>
      </c>
      <c r="J13">
        <v>4</v>
      </c>
      <c r="K13" s="4">
        <v>41</v>
      </c>
      <c r="L13" s="3">
        <v>19</v>
      </c>
      <c r="M13">
        <v>614</v>
      </c>
      <c r="N13">
        <v>4</v>
      </c>
      <c r="O13" s="4">
        <v>29</v>
      </c>
      <c r="P13" s="3">
        <v>24</v>
      </c>
      <c r="Q13">
        <v>628</v>
      </c>
      <c r="R13">
        <v>7</v>
      </c>
      <c r="S13" s="4">
        <v>32</v>
      </c>
      <c r="T13" s="3">
        <v>41</v>
      </c>
      <c r="U13">
        <v>575</v>
      </c>
      <c r="V13">
        <v>10</v>
      </c>
      <c r="W13" s="4">
        <v>30</v>
      </c>
      <c r="X13">
        <v>64</v>
      </c>
      <c r="Y13">
        <v>800</v>
      </c>
      <c r="Z13">
        <v>4</v>
      </c>
      <c r="AA13" s="4">
        <v>38</v>
      </c>
    </row>
    <row r="14" spans="1:27" x14ac:dyDescent="0.2">
      <c r="A14" s="11" t="s">
        <v>37</v>
      </c>
      <c r="B14" s="2" t="s">
        <v>92</v>
      </c>
      <c r="C14" s="40">
        <v>1205665350</v>
      </c>
      <c r="D14" s="3">
        <v>77</v>
      </c>
      <c r="E14">
        <v>1075</v>
      </c>
      <c r="F14">
        <v>3</v>
      </c>
      <c r="G14" s="4">
        <v>142</v>
      </c>
      <c r="H14" s="3">
        <v>58</v>
      </c>
      <c r="I14">
        <v>692</v>
      </c>
      <c r="J14">
        <v>4</v>
      </c>
      <c r="K14" s="4">
        <v>108</v>
      </c>
      <c r="L14" s="3">
        <v>16</v>
      </c>
      <c r="M14">
        <v>553</v>
      </c>
      <c r="N14">
        <v>6</v>
      </c>
      <c r="O14" s="4">
        <v>91</v>
      </c>
      <c r="P14" s="3">
        <v>15</v>
      </c>
      <c r="Q14">
        <v>565</v>
      </c>
      <c r="R14">
        <v>9</v>
      </c>
      <c r="S14" s="4">
        <v>102</v>
      </c>
      <c r="T14" s="3">
        <v>82</v>
      </c>
      <c r="U14">
        <v>477</v>
      </c>
      <c r="V14">
        <v>12</v>
      </c>
      <c r="W14" s="4">
        <v>85</v>
      </c>
      <c r="X14">
        <v>35</v>
      </c>
      <c r="Y14">
        <v>738</v>
      </c>
      <c r="Z14">
        <v>4</v>
      </c>
      <c r="AA14" s="4">
        <v>129</v>
      </c>
    </row>
    <row r="15" spans="1:27" x14ac:dyDescent="0.2">
      <c r="A15" s="11" t="s">
        <v>38</v>
      </c>
      <c r="B15" s="12" t="s">
        <v>110</v>
      </c>
      <c r="C15" s="40">
        <v>1587758800</v>
      </c>
      <c r="D15" s="3">
        <v>81</v>
      </c>
      <c r="E15">
        <v>1175</v>
      </c>
      <c r="F15">
        <v>5</v>
      </c>
      <c r="G15" s="4">
        <v>36</v>
      </c>
      <c r="H15" s="3">
        <v>48</v>
      </c>
      <c r="I15">
        <v>775</v>
      </c>
      <c r="J15">
        <v>3</v>
      </c>
      <c r="K15" s="4">
        <v>36</v>
      </c>
      <c r="L15" s="3">
        <v>35</v>
      </c>
      <c r="M15">
        <v>608</v>
      </c>
      <c r="N15">
        <v>6</v>
      </c>
      <c r="O15" s="4">
        <v>17</v>
      </c>
      <c r="P15" s="3">
        <v>17</v>
      </c>
      <c r="Q15">
        <v>641</v>
      </c>
      <c r="R15">
        <v>11</v>
      </c>
      <c r="S15" s="4">
        <v>22</v>
      </c>
      <c r="T15" s="3">
        <v>32</v>
      </c>
      <c r="U15">
        <v>595</v>
      </c>
      <c r="V15">
        <v>10</v>
      </c>
      <c r="W15" s="4">
        <v>19</v>
      </c>
      <c r="X15">
        <v>72</v>
      </c>
      <c r="Y15">
        <v>790</v>
      </c>
      <c r="Z15">
        <v>4</v>
      </c>
      <c r="AA15" s="4">
        <v>40</v>
      </c>
    </row>
    <row r="16" spans="1:27" x14ac:dyDescent="0.2">
      <c r="A16" s="11" t="s">
        <v>39</v>
      </c>
      <c r="B16" s="2" t="s">
        <v>79</v>
      </c>
      <c r="C16" s="40">
        <v>1872998338</v>
      </c>
      <c r="D16" s="3">
        <v>109</v>
      </c>
      <c r="E16">
        <v>1152</v>
      </c>
      <c r="F16">
        <v>8</v>
      </c>
      <c r="G16" s="4">
        <v>28</v>
      </c>
      <c r="H16" s="3">
        <v>60</v>
      </c>
      <c r="I16">
        <v>768</v>
      </c>
      <c r="J16">
        <v>3</v>
      </c>
      <c r="K16" s="4">
        <v>31</v>
      </c>
      <c r="L16" s="3">
        <v>12</v>
      </c>
      <c r="M16">
        <v>618</v>
      </c>
      <c r="N16">
        <v>5</v>
      </c>
      <c r="O16" s="4">
        <v>31</v>
      </c>
      <c r="P16" s="3">
        <v>19</v>
      </c>
      <c r="Q16">
        <v>640</v>
      </c>
      <c r="R16">
        <v>12</v>
      </c>
      <c r="S16" s="4">
        <v>20</v>
      </c>
      <c r="T16" s="3">
        <v>30</v>
      </c>
      <c r="U16">
        <v>590</v>
      </c>
      <c r="V16">
        <v>14</v>
      </c>
      <c r="W16" s="4">
        <v>22</v>
      </c>
      <c r="X16">
        <v>67</v>
      </c>
      <c r="Y16">
        <v>800</v>
      </c>
      <c r="Z16">
        <v>8</v>
      </c>
      <c r="AA16" s="4">
        <v>31</v>
      </c>
    </row>
    <row r="17" spans="1:27" x14ac:dyDescent="0.2">
      <c r="A17" s="11" t="s">
        <v>40</v>
      </c>
      <c r="B17" s="12" t="s">
        <v>103</v>
      </c>
      <c r="C17" s="40">
        <v>1459516644</v>
      </c>
      <c r="D17" s="3">
        <v>13</v>
      </c>
      <c r="E17">
        <v>568</v>
      </c>
      <c r="F17">
        <v>2</v>
      </c>
      <c r="G17" s="4">
        <v>714</v>
      </c>
      <c r="H17" s="3">
        <v>13</v>
      </c>
      <c r="I17">
        <v>389</v>
      </c>
      <c r="J17">
        <v>3</v>
      </c>
      <c r="K17" s="4">
        <v>457</v>
      </c>
      <c r="L17" s="3">
        <v>37</v>
      </c>
      <c r="M17">
        <v>283</v>
      </c>
      <c r="N17">
        <v>5</v>
      </c>
      <c r="O17" s="4">
        <v>341</v>
      </c>
      <c r="P17" s="3">
        <v>97</v>
      </c>
      <c r="Q17">
        <v>256</v>
      </c>
      <c r="R17">
        <v>5</v>
      </c>
      <c r="S17" s="4">
        <v>333</v>
      </c>
      <c r="T17" s="3">
        <v>13</v>
      </c>
      <c r="U17">
        <v>300</v>
      </c>
      <c r="V17">
        <v>11</v>
      </c>
      <c r="W17" s="4">
        <v>332</v>
      </c>
      <c r="X17">
        <v>14</v>
      </c>
      <c r="Y17">
        <v>415</v>
      </c>
      <c r="Z17">
        <v>3</v>
      </c>
      <c r="AA17" s="4">
        <v>474</v>
      </c>
    </row>
    <row r="18" spans="1:27" x14ac:dyDescent="0.2">
      <c r="A18" s="11" t="s">
        <v>41</v>
      </c>
      <c r="B18" s="12" t="s">
        <v>86</v>
      </c>
      <c r="C18" s="40">
        <v>2165684622</v>
      </c>
      <c r="D18" s="3">
        <v>25</v>
      </c>
      <c r="E18">
        <v>1249</v>
      </c>
      <c r="F18">
        <v>5</v>
      </c>
      <c r="G18" s="4">
        <v>18</v>
      </c>
      <c r="H18" s="3">
        <v>13</v>
      </c>
      <c r="I18">
        <v>816</v>
      </c>
      <c r="J18">
        <v>6</v>
      </c>
      <c r="K18" s="4">
        <v>27</v>
      </c>
      <c r="L18" s="3">
        <v>172</v>
      </c>
      <c r="M18">
        <v>474</v>
      </c>
      <c r="N18">
        <v>5</v>
      </c>
      <c r="O18" s="4">
        <v>15</v>
      </c>
      <c r="P18" s="3">
        <v>69</v>
      </c>
      <c r="Q18">
        <v>592</v>
      </c>
      <c r="R18">
        <v>7</v>
      </c>
      <c r="S18" s="4">
        <v>23</v>
      </c>
      <c r="T18" s="3">
        <v>23</v>
      </c>
      <c r="U18">
        <v>604</v>
      </c>
      <c r="V18">
        <v>10</v>
      </c>
      <c r="W18" s="4">
        <v>19</v>
      </c>
      <c r="X18">
        <v>23</v>
      </c>
      <c r="Y18">
        <v>853</v>
      </c>
      <c r="Z18">
        <v>5</v>
      </c>
      <c r="AA18" s="4">
        <v>25</v>
      </c>
    </row>
    <row r="19" spans="1:27" x14ac:dyDescent="0.2">
      <c r="A19" s="11" t="s">
        <v>42</v>
      </c>
      <c r="B19" s="2" t="s">
        <v>87</v>
      </c>
      <c r="C19" s="40">
        <v>2439319276</v>
      </c>
      <c r="D19" s="3">
        <v>21</v>
      </c>
      <c r="E19">
        <v>1248</v>
      </c>
      <c r="F19">
        <v>13</v>
      </c>
      <c r="G19" s="4">
        <v>15</v>
      </c>
      <c r="H19" s="3">
        <v>17</v>
      </c>
      <c r="I19">
        <v>808</v>
      </c>
      <c r="J19">
        <v>14</v>
      </c>
      <c r="K19" s="4">
        <v>23</v>
      </c>
      <c r="L19" s="3">
        <v>146</v>
      </c>
      <c r="M19">
        <v>444</v>
      </c>
      <c r="N19">
        <v>62</v>
      </c>
      <c r="O19" s="4">
        <v>14</v>
      </c>
      <c r="P19" s="3">
        <v>61</v>
      </c>
      <c r="Q19">
        <v>588</v>
      </c>
      <c r="R19">
        <v>20</v>
      </c>
      <c r="S19" s="4">
        <v>22</v>
      </c>
      <c r="T19" s="3">
        <v>20</v>
      </c>
      <c r="U19">
        <v>596</v>
      </c>
      <c r="V19">
        <v>17</v>
      </c>
      <c r="W19" s="4">
        <v>23</v>
      </c>
      <c r="X19">
        <v>14</v>
      </c>
      <c r="Y19">
        <v>856</v>
      </c>
      <c r="Z19">
        <v>13</v>
      </c>
      <c r="AA19" s="4">
        <v>23</v>
      </c>
    </row>
    <row r="20" spans="1:27" x14ac:dyDescent="0.2">
      <c r="A20" s="11" t="s">
        <v>43</v>
      </c>
      <c r="B20" s="12" t="s">
        <v>69</v>
      </c>
      <c r="C20" s="40">
        <v>2967811078</v>
      </c>
      <c r="D20" s="3">
        <v>33</v>
      </c>
      <c r="E20">
        <v>1200</v>
      </c>
      <c r="F20">
        <v>4</v>
      </c>
      <c r="G20" s="4">
        <v>60</v>
      </c>
      <c r="H20" s="3">
        <v>400</v>
      </c>
      <c r="I20">
        <v>409</v>
      </c>
      <c r="J20">
        <v>4</v>
      </c>
      <c r="K20" s="4">
        <v>49</v>
      </c>
      <c r="L20" s="3">
        <v>13</v>
      </c>
      <c r="M20">
        <v>610</v>
      </c>
      <c r="N20">
        <v>8</v>
      </c>
      <c r="O20" s="4">
        <v>35</v>
      </c>
      <c r="P20" s="3">
        <v>10</v>
      </c>
      <c r="Q20">
        <v>644</v>
      </c>
      <c r="R20">
        <v>8</v>
      </c>
      <c r="S20" s="4">
        <v>29</v>
      </c>
      <c r="T20" s="3">
        <v>38</v>
      </c>
      <c r="U20">
        <v>572</v>
      </c>
      <c r="V20">
        <v>10</v>
      </c>
      <c r="W20" s="4">
        <v>36</v>
      </c>
      <c r="X20">
        <v>27</v>
      </c>
      <c r="Y20">
        <v>823</v>
      </c>
      <c r="Z20">
        <v>3</v>
      </c>
      <c r="AA20" s="4">
        <v>53</v>
      </c>
    </row>
    <row r="21" spans="1:27" x14ac:dyDescent="0.2">
      <c r="A21" s="11" t="s">
        <v>44</v>
      </c>
      <c r="B21" s="12" t="s">
        <v>71</v>
      </c>
      <c r="C21" s="40">
        <v>2682296050</v>
      </c>
      <c r="D21" s="3">
        <v>34</v>
      </c>
      <c r="E21">
        <v>1174</v>
      </c>
      <c r="F21">
        <v>4</v>
      </c>
      <c r="G21" s="4">
        <v>85</v>
      </c>
      <c r="H21" s="3">
        <v>381</v>
      </c>
      <c r="I21">
        <v>423</v>
      </c>
      <c r="J21">
        <v>5</v>
      </c>
      <c r="K21" s="4">
        <v>53</v>
      </c>
      <c r="L21" s="3">
        <v>14</v>
      </c>
      <c r="M21">
        <v>607</v>
      </c>
      <c r="N21">
        <v>7</v>
      </c>
      <c r="O21" s="4">
        <v>38</v>
      </c>
      <c r="P21" s="3">
        <v>12</v>
      </c>
      <c r="Q21">
        <v>627</v>
      </c>
      <c r="R21">
        <v>9</v>
      </c>
      <c r="S21" s="4">
        <v>43</v>
      </c>
      <c r="T21" s="3">
        <v>38</v>
      </c>
      <c r="U21">
        <v>559</v>
      </c>
      <c r="V21">
        <v>10</v>
      </c>
      <c r="W21" s="4">
        <v>49</v>
      </c>
      <c r="X21">
        <v>24</v>
      </c>
      <c r="Y21">
        <v>817</v>
      </c>
      <c r="Z21">
        <v>3</v>
      </c>
      <c r="AA21" s="4">
        <v>62</v>
      </c>
    </row>
    <row r="22" spans="1:27" x14ac:dyDescent="0.2">
      <c r="A22" s="11" t="s">
        <v>45</v>
      </c>
      <c r="B22" s="2" t="s">
        <v>107</v>
      </c>
      <c r="C22" s="40">
        <v>2301168888</v>
      </c>
      <c r="D22" s="3">
        <v>48</v>
      </c>
      <c r="E22">
        <v>1221</v>
      </c>
      <c r="F22">
        <v>4</v>
      </c>
      <c r="G22" s="4">
        <v>24</v>
      </c>
      <c r="H22" s="3">
        <v>374</v>
      </c>
      <c r="I22">
        <v>465</v>
      </c>
      <c r="J22">
        <v>4</v>
      </c>
      <c r="K22" s="4">
        <v>19</v>
      </c>
      <c r="L22" s="3">
        <v>18</v>
      </c>
      <c r="M22">
        <v>629</v>
      </c>
      <c r="N22">
        <v>7</v>
      </c>
      <c r="O22" s="4">
        <v>12</v>
      </c>
      <c r="P22" s="3">
        <v>8</v>
      </c>
      <c r="Q22">
        <v>655</v>
      </c>
      <c r="R22">
        <v>9</v>
      </c>
      <c r="S22" s="4">
        <v>19</v>
      </c>
      <c r="T22" s="3">
        <v>39</v>
      </c>
      <c r="U22">
        <v>583</v>
      </c>
      <c r="V22">
        <v>11</v>
      </c>
      <c r="W22" s="4">
        <v>23</v>
      </c>
      <c r="X22">
        <v>20</v>
      </c>
      <c r="Y22">
        <v>862</v>
      </c>
      <c r="Z22">
        <v>5</v>
      </c>
      <c r="AA22" s="4">
        <v>19</v>
      </c>
    </row>
    <row r="23" spans="1:27" x14ac:dyDescent="0.2">
      <c r="A23" s="11" t="s">
        <v>46</v>
      </c>
      <c r="B23" s="2" t="s">
        <v>70</v>
      </c>
      <c r="C23" s="40">
        <v>2708111312</v>
      </c>
      <c r="D23" s="3">
        <v>32</v>
      </c>
      <c r="E23">
        <v>1135</v>
      </c>
      <c r="F23">
        <v>5</v>
      </c>
      <c r="G23" s="4">
        <v>125</v>
      </c>
      <c r="H23" s="3">
        <v>388</v>
      </c>
      <c r="I23">
        <v>388</v>
      </c>
      <c r="J23">
        <v>5</v>
      </c>
      <c r="K23" s="4">
        <v>81</v>
      </c>
      <c r="L23" s="3">
        <v>12</v>
      </c>
      <c r="M23">
        <v>591</v>
      </c>
      <c r="N23">
        <v>7</v>
      </c>
      <c r="O23" s="4">
        <v>56</v>
      </c>
      <c r="P23" s="3">
        <v>10</v>
      </c>
      <c r="Q23">
        <v>596</v>
      </c>
      <c r="R23">
        <v>10</v>
      </c>
      <c r="S23" s="4">
        <v>75</v>
      </c>
      <c r="T23" s="3">
        <v>34</v>
      </c>
      <c r="U23">
        <v>551</v>
      </c>
      <c r="V23">
        <v>10</v>
      </c>
      <c r="W23" s="4">
        <v>61</v>
      </c>
      <c r="X23">
        <v>24</v>
      </c>
      <c r="Y23">
        <v>797</v>
      </c>
      <c r="Z23">
        <v>3</v>
      </c>
      <c r="AA23" s="4">
        <v>82</v>
      </c>
    </row>
    <row r="24" spans="1:27" x14ac:dyDescent="0.2">
      <c r="A24" s="11" t="s">
        <v>47</v>
      </c>
      <c r="B24" s="12" t="s">
        <v>72</v>
      </c>
      <c r="C24" s="40">
        <v>2123693064</v>
      </c>
      <c r="D24" s="3">
        <v>24</v>
      </c>
      <c r="E24">
        <v>1245</v>
      </c>
      <c r="F24">
        <v>3</v>
      </c>
      <c r="G24" s="4">
        <v>25</v>
      </c>
      <c r="H24" s="3">
        <v>14</v>
      </c>
      <c r="I24">
        <v>806</v>
      </c>
      <c r="J24">
        <v>7</v>
      </c>
      <c r="K24" s="4">
        <v>35</v>
      </c>
      <c r="L24" s="3">
        <v>180</v>
      </c>
      <c r="M24">
        <v>458</v>
      </c>
      <c r="N24">
        <v>5</v>
      </c>
      <c r="O24" s="4">
        <v>23</v>
      </c>
      <c r="P24" s="3">
        <v>67</v>
      </c>
      <c r="Q24">
        <v>591</v>
      </c>
      <c r="R24">
        <v>7</v>
      </c>
      <c r="S24" s="4">
        <v>26</v>
      </c>
      <c r="T24" s="3">
        <v>25</v>
      </c>
      <c r="U24">
        <v>594</v>
      </c>
      <c r="V24">
        <v>12</v>
      </c>
      <c r="W24" s="4">
        <v>25</v>
      </c>
      <c r="X24">
        <v>20</v>
      </c>
      <c r="Y24">
        <v>849</v>
      </c>
      <c r="Z24">
        <v>5</v>
      </c>
      <c r="AA24" s="4">
        <v>32</v>
      </c>
    </row>
    <row r="25" spans="1:27" x14ac:dyDescent="0.2">
      <c r="A25" s="11" t="s">
        <v>48</v>
      </c>
      <c r="B25" s="12" t="s">
        <v>102</v>
      </c>
      <c r="C25" s="40">
        <v>1091024640</v>
      </c>
      <c r="D25" s="3">
        <v>19</v>
      </c>
      <c r="E25">
        <v>202</v>
      </c>
      <c r="F25">
        <v>2</v>
      </c>
      <c r="G25" s="4">
        <v>1074</v>
      </c>
      <c r="H25" s="3">
        <v>7</v>
      </c>
      <c r="I25">
        <v>138</v>
      </c>
      <c r="J25">
        <v>4</v>
      </c>
      <c r="K25" s="4">
        <v>713</v>
      </c>
      <c r="L25" s="3">
        <v>7</v>
      </c>
      <c r="M25">
        <v>105</v>
      </c>
      <c r="N25">
        <v>4</v>
      </c>
      <c r="O25" s="4">
        <v>550</v>
      </c>
      <c r="P25" s="3">
        <v>3</v>
      </c>
      <c r="Q25">
        <v>130</v>
      </c>
      <c r="R25">
        <v>4</v>
      </c>
      <c r="S25" s="4">
        <v>554</v>
      </c>
      <c r="T25" s="3">
        <v>6</v>
      </c>
      <c r="U25">
        <v>97</v>
      </c>
      <c r="V25">
        <v>9</v>
      </c>
      <c r="W25" s="4">
        <v>544</v>
      </c>
      <c r="X25">
        <v>7</v>
      </c>
      <c r="Y25">
        <v>134</v>
      </c>
      <c r="Z25">
        <v>4</v>
      </c>
      <c r="AA25" s="4">
        <v>761</v>
      </c>
    </row>
    <row r="26" spans="1:27" x14ac:dyDescent="0.2">
      <c r="A26" s="11" t="s">
        <v>49</v>
      </c>
      <c r="B26" s="12" t="s">
        <v>78</v>
      </c>
      <c r="C26" s="40">
        <v>3183655612</v>
      </c>
      <c r="D26" s="3">
        <v>89</v>
      </c>
      <c r="E26">
        <v>1138</v>
      </c>
      <c r="F26">
        <v>5</v>
      </c>
      <c r="G26" s="4">
        <v>65</v>
      </c>
      <c r="H26" s="3">
        <v>33</v>
      </c>
      <c r="I26">
        <v>779</v>
      </c>
      <c r="J26">
        <v>5</v>
      </c>
      <c r="K26" s="4">
        <v>45</v>
      </c>
      <c r="L26" s="3">
        <v>21</v>
      </c>
      <c r="M26">
        <v>598</v>
      </c>
      <c r="N26">
        <v>6</v>
      </c>
      <c r="O26" s="4">
        <v>41</v>
      </c>
      <c r="P26" s="3">
        <v>22</v>
      </c>
      <c r="Q26">
        <v>624</v>
      </c>
      <c r="R26">
        <v>10</v>
      </c>
      <c r="S26" s="4">
        <v>35</v>
      </c>
      <c r="T26" s="3">
        <v>26</v>
      </c>
      <c r="U26">
        <v>576</v>
      </c>
      <c r="V26">
        <v>11</v>
      </c>
      <c r="W26" s="4">
        <v>43</v>
      </c>
      <c r="X26">
        <v>55</v>
      </c>
      <c r="Y26">
        <v>800</v>
      </c>
      <c r="Z26">
        <v>5</v>
      </c>
      <c r="AA26" s="4">
        <v>46</v>
      </c>
    </row>
    <row r="27" spans="1:27" x14ac:dyDescent="0.2">
      <c r="A27" s="11" t="s">
        <v>50</v>
      </c>
      <c r="B27" s="12" t="s">
        <v>90</v>
      </c>
      <c r="C27" s="40">
        <v>1365864856</v>
      </c>
      <c r="D27" s="3">
        <v>36</v>
      </c>
      <c r="E27">
        <v>314</v>
      </c>
      <c r="F27">
        <v>1</v>
      </c>
      <c r="G27" s="4">
        <v>946</v>
      </c>
      <c r="H27" s="3">
        <v>22</v>
      </c>
      <c r="I27">
        <v>236</v>
      </c>
      <c r="J27">
        <v>2</v>
      </c>
      <c r="K27" s="4">
        <v>602</v>
      </c>
      <c r="L27" s="3">
        <v>6</v>
      </c>
      <c r="M27">
        <v>197</v>
      </c>
      <c r="N27">
        <v>4</v>
      </c>
      <c r="O27" s="4">
        <v>459</v>
      </c>
      <c r="P27" s="3">
        <v>6</v>
      </c>
      <c r="Q27">
        <v>212</v>
      </c>
      <c r="R27">
        <v>7</v>
      </c>
      <c r="S27" s="4">
        <v>466</v>
      </c>
      <c r="T27" s="3">
        <v>7</v>
      </c>
      <c r="U27">
        <v>171</v>
      </c>
      <c r="V27">
        <v>6</v>
      </c>
      <c r="W27" s="4">
        <v>472</v>
      </c>
      <c r="X27">
        <v>17</v>
      </c>
      <c r="Y27">
        <v>259</v>
      </c>
      <c r="Z27">
        <v>4</v>
      </c>
      <c r="AA27" s="4">
        <v>626</v>
      </c>
    </row>
    <row r="28" spans="1:27" x14ac:dyDescent="0.2">
      <c r="A28" s="11" t="s">
        <v>51</v>
      </c>
      <c r="B28" s="12" t="s">
        <v>85</v>
      </c>
      <c r="C28" s="40">
        <v>2054661180</v>
      </c>
      <c r="D28" s="3">
        <v>33</v>
      </c>
      <c r="E28">
        <v>1242</v>
      </c>
      <c r="F28">
        <v>4</v>
      </c>
      <c r="G28" s="4">
        <v>18</v>
      </c>
      <c r="H28" s="3">
        <v>23</v>
      </c>
      <c r="I28">
        <v>807</v>
      </c>
      <c r="J28">
        <v>4</v>
      </c>
      <c r="K28" s="4">
        <v>28</v>
      </c>
      <c r="L28" s="3">
        <v>184</v>
      </c>
      <c r="M28">
        <v>461</v>
      </c>
      <c r="N28">
        <v>6</v>
      </c>
      <c r="O28" s="4">
        <v>15</v>
      </c>
      <c r="P28" s="3">
        <v>63</v>
      </c>
      <c r="Q28">
        <v>596</v>
      </c>
      <c r="R28">
        <v>7</v>
      </c>
      <c r="S28" s="4">
        <v>25</v>
      </c>
      <c r="T28" s="3">
        <v>23</v>
      </c>
      <c r="U28">
        <v>600</v>
      </c>
      <c r="V28">
        <v>9</v>
      </c>
      <c r="W28" s="4">
        <v>24</v>
      </c>
      <c r="X28">
        <v>19</v>
      </c>
      <c r="Y28">
        <v>852</v>
      </c>
      <c r="Z28">
        <v>5</v>
      </c>
      <c r="AA28" s="4">
        <v>30</v>
      </c>
    </row>
    <row r="29" spans="1:27" x14ac:dyDescent="0.2">
      <c r="A29" s="11" t="s">
        <v>52</v>
      </c>
      <c r="B29" s="12" t="s">
        <v>94</v>
      </c>
      <c r="C29" s="40">
        <v>1188536690</v>
      </c>
      <c r="D29" s="3">
        <v>24</v>
      </c>
      <c r="E29">
        <v>766</v>
      </c>
      <c r="F29">
        <v>13</v>
      </c>
      <c r="G29" s="4">
        <v>494</v>
      </c>
      <c r="H29" s="3">
        <v>249</v>
      </c>
      <c r="I29">
        <v>280</v>
      </c>
      <c r="J29">
        <v>23</v>
      </c>
      <c r="K29" s="4">
        <v>310</v>
      </c>
      <c r="L29" s="3">
        <v>9</v>
      </c>
      <c r="M29">
        <v>358</v>
      </c>
      <c r="N29">
        <v>8</v>
      </c>
      <c r="O29" s="4">
        <v>291</v>
      </c>
      <c r="P29" s="3">
        <v>5</v>
      </c>
      <c r="Q29">
        <v>379</v>
      </c>
      <c r="R29">
        <v>12</v>
      </c>
      <c r="S29" s="4">
        <v>295</v>
      </c>
      <c r="T29" s="3">
        <v>19</v>
      </c>
      <c r="U29">
        <v>340</v>
      </c>
      <c r="V29">
        <v>13</v>
      </c>
      <c r="W29" s="4">
        <v>284</v>
      </c>
      <c r="X29">
        <v>10</v>
      </c>
      <c r="Y29">
        <v>516</v>
      </c>
      <c r="Z29">
        <v>4</v>
      </c>
      <c r="AA29" s="4">
        <v>376</v>
      </c>
    </row>
    <row r="30" spans="1:27" x14ac:dyDescent="0.2">
      <c r="A30" s="11" t="s">
        <v>53</v>
      </c>
      <c r="B30" s="12" t="s">
        <v>104</v>
      </c>
      <c r="C30" s="40">
        <v>1882861524</v>
      </c>
      <c r="D30" s="3">
        <v>20</v>
      </c>
      <c r="E30">
        <v>889</v>
      </c>
      <c r="F30">
        <v>4</v>
      </c>
      <c r="G30" s="4">
        <v>384</v>
      </c>
      <c r="H30" s="3">
        <v>13</v>
      </c>
      <c r="I30">
        <v>580</v>
      </c>
      <c r="J30">
        <v>3</v>
      </c>
      <c r="K30" s="4">
        <v>266</v>
      </c>
      <c r="L30" s="3">
        <v>63</v>
      </c>
      <c r="M30">
        <v>428</v>
      </c>
      <c r="N30">
        <v>5</v>
      </c>
      <c r="O30" s="4">
        <v>170</v>
      </c>
      <c r="P30" s="3">
        <v>131</v>
      </c>
      <c r="Q30">
        <v>375</v>
      </c>
      <c r="R30">
        <v>8</v>
      </c>
      <c r="S30" s="4">
        <v>177</v>
      </c>
      <c r="T30" s="3">
        <v>18</v>
      </c>
      <c r="U30">
        <v>436</v>
      </c>
      <c r="V30">
        <v>11</v>
      </c>
      <c r="W30" s="4">
        <v>191</v>
      </c>
      <c r="X30">
        <v>25</v>
      </c>
      <c r="Y30">
        <v>613</v>
      </c>
      <c r="Z30">
        <v>3</v>
      </c>
      <c r="AA30" s="4">
        <v>265</v>
      </c>
    </row>
    <row r="31" spans="1:27" x14ac:dyDescent="0.2">
      <c r="A31" s="11" t="s">
        <v>54</v>
      </c>
      <c r="B31" s="12" t="s">
        <v>97</v>
      </c>
      <c r="C31" s="40">
        <v>4175575200</v>
      </c>
      <c r="D31" s="3">
        <v>96</v>
      </c>
      <c r="E31">
        <v>1149</v>
      </c>
      <c r="F31">
        <v>31</v>
      </c>
      <c r="G31" s="4">
        <v>21</v>
      </c>
      <c r="H31" s="3">
        <v>47</v>
      </c>
      <c r="I31">
        <v>785</v>
      </c>
      <c r="J31">
        <v>18</v>
      </c>
      <c r="K31" s="4">
        <v>12</v>
      </c>
      <c r="L31" s="3">
        <v>34</v>
      </c>
      <c r="M31">
        <v>612</v>
      </c>
      <c r="N31">
        <v>9</v>
      </c>
      <c r="O31" s="4">
        <v>11</v>
      </c>
      <c r="P31" s="3">
        <v>18</v>
      </c>
      <c r="Q31">
        <v>640</v>
      </c>
      <c r="R31">
        <v>11</v>
      </c>
      <c r="S31" s="4">
        <v>22</v>
      </c>
      <c r="T31" s="3">
        <v>29</v>
      </c>
      <c r="U31">
        <v>591</v>
      </c>
      <c r="V31">
        <v>20</v>
      </c>
      <c r="W31" s="4">
        <v>16</v>
      </c>
      <c r="X31">
        <v>51</v>
      </c>
      <c r="Y31">
        <v>810</v>
      </c>
      <c r="Z31">
        <v>18</v>
      </c>
      <c r="AA31" s="4">
        <v>27</v>
      </c>
    </row>
    <row r="32" spans="1:27" x14ac:dyDescent="0.2">
      <c r="A32" s="11" t="s">
        <v>55</v>
      </c>
      <c r="B32" s="12" t="s">
        <v>96</v>
      </c>
      <c r="C32" s="40">
        <v>1261828350</v>
      </c>
      <c r="D32" s="3">
        <v>5</v>
      </c>
      <c r="E32">
        <v>70</v>
      </c>
      <c r="F32">
        <v>4</v>
      </c>
      <c r="G32" s="4">
        <v>1218</v>
      </c>
      <c r="H32" s="3">
        <v>22</v>
      </c>
      <c r="I32">
        <v>28</v>
      </c>
      <c r="J32">
        <v>2</v>
      </c>
      <c r="K32" s="4">
        <v>810</v>
      </c>
      <c r="L32" s="3">
        <v>0</v>
      </c>
      <c r="M32">
        <v>34</v>
      </c>
      <c r="N32">
        <v>4</v>
      </c>
      <c r="O32" s="4">
        <v>628</v>
      </c>
      <c r="P32" s="3">
        <v>2</v>
      </c>
      <c r="Q32">
        <v>48</v>
      </c>
      <c r="R32">
        <v>6</v>
      </c>
      <c r="S32" s="4">
        <v>635</v>
      </c>
      <c r="T32" s="3">
        <v>6</v>
      </c>
      <c r="U32">
        <v>28</v>
      </c>
      <c r="V32">
        <v>9</v>
      </c>
      <c r="W32" s="4">
        <v>613</v>
      </c>
      <c r="X32">
        <v>0</v>
      </c>
      <c r="Y32">
        <v>60</v>
      </c>
      <c r="Z32">
        <v>1</v>
      </c>
      <c r="AA32" s="4">
        <v>845</v>
      </c>
    </row>
    <row r="33" spans="1:27" x14ac:dyDescent="0.2">
      <c r="A33" s="11" t="s">
        <v>56</v>
      </c>
      <c r="B33" s="12" t="s">
        <v>73</v>
      </c>
      <c r="C33" s="40">
        <v>1377530718</v>
      </c>
      <c r="D33" s="3">
        <v>19</v>
      </c>
      <c r="E33">
        <v>1178</v>
      </c>
      <c r="F33">
        <v>4</v>
      </c>
      <c r="G33" s="4">
        <v>96</v>
      </c>
      <c r="H33" s="3">
        <v>14</v>
      </c>
      <c r="I33">
        <v>766</v>
      </c>
      <c r="J33">
        <v>6</v>
      </c>
      <c r="K33" s="4">
        <v>76</v>
      </c>
      <c r="L33" s="3">
        <v>173</v>
      </c>
      <c r="M33">
        <v>436</v>
      </c>
      <c r="N33">
        <v>4</v>
      </c>
      <c r="O33" s="4">
        <v>53</v>
      </c>
      <c r="P33" s="3">
        <v>67</v>
      </c>
      <c r="Q33">
        <v>564</v>
      </c>
      <c r="R33">
        <v>7</v>
      </c>
      <c r="S33" s="4">
        <v>53</v>
      </c>
      <c r="T33" s="3">
        <v>26</v>
      </c>
      <c r="U33">
        <v>568</v>
      </c>
      <c r="V33">
        <v>10</v>
      </c>
      <c r="W33" s="4">
        <v>52</v>
      </c>
      <c r="X33">
        <v>19</v>
      </c>
      <c r="Y33">
        <v>832</v>
      </c>
      <c r="Z33">
        <v>3</v>
      </c>
      <c r="AA33" s="4">
        <v>52</v>
      </c>
    </row>
    <row r="34" spans="1:27" x14ac:dyDescent="0.2">
      <c r="A34" s="11" t="s">
        <v>57</v>
      </c>
      <c r="B34" s="12" t="s">
        <v>108</v>
      </c>
      <c r="C34" s="40">
        <v>1578132400</v>
      </c>
      <c r="D34" s="3">
        <v>46</v>
      </c>
      <c r="E34">
        <v>1222</v>
      </c>
      <c r="F34">
        <v>4</v>
      </c>
      <c r="G34" s="4">
        <v>25</v>
      </c>
      <c r="H34" s="3">
        <v>316</v>
      </c>
      <c r="I34">
        <v>510</v>
      </c>
      <c r="J34">
        <v>7</v>
      </c>
      <c r="K34" s="4">
        <v>29</v>
      </c>
      <c r="L34" s="3">
        <v>13</v>
      </c>
      <c r="M34">
        <v>630</v>
      </c>
      <c r="N34">
        <v>6</v>
      </c>
      <c r="O34" s="4">
        <v>17</v>
      </c>
      <c r="P34" s="3">
        <v>12</v>
      </c>
      <c r="Q34">
        <v>642</v>
      </c>
      <c r="R34">
        <v>11</v>
      </c>
      <c r="S34" s="4">
        <v>26</v>
      </c>
      <c r="T34" s="3">
        <v>50</v>
      </c>
      <c r="U34">
        <v>576</v>
      </c>
      <c r="V34">
        <v>11</v>
      </c>
      <c r="W34" s="4">
        <v>19</v>
      </c>
      <c r="X34">
        <v>31</v>
      </c>
      <c r="Y34">
        <v>849</v>
      </c>
      <c r="Z34">
        <v>3</v>
      </c>
      <c r="AA34" s="4">
        <v>23</v>
      </c>
    </row>
    <row r="35" spans="1:27" x14ac:dyDescent="0.2">
      <c r="A35" s="11" t="s">
        <v>58</v>
      </c>
      <c r="B35" s="12" t="s">
        <v>75</v>
      </c>
      <c r="C35" s="40">
        <v>7670894526</v>
      </c>
      <c r="D35" s="3">
        <v>93</v>
      </c>
      <c r="E35">
        <v>1179</v>
      </c>
      <c r="F35">
        <v>4</v>
      </c>
      <c r="G35" s="4">
        <v>21</v>
      </c>
      <c r="H35" s="3">
        <v>50</v>
      </c>
      <c r="I35">
        <v>784</v>
      </c>
      <c r="J35">
        <v>4</v>
      </c>
      <c r="K35" s="4">
        <v>24</v>
      </c>
      <c r="L35" s="3">
        <v>17</v>
      </c>
      <c r="M35">
        <v>631</v>
      </c>
      <c r="N35">
        <v>7</v>
      </c>
      <c r="O35" s="4">
        <v>11</v>
      </c>
      <c r="P35" s="3">
        <v>17</v>
      </c>
      <c r="Q35">
        <v>649</v>
      </c>
      <c r="R35">
        <v>8</v>
      </c>
      <c r="S35" s="4">
        <v>17</v>
      </c>
      <c r="T35" s="3">
        <v>30</v>
      </c>
      <c r="U35">
        <v>598</v>
      </c>
      <c r="V35">
        <v>7</v>
      </c>
      <c r="W35" s="4">
        <v>21</v>
      </c>
      <c r="X35">
        <v>65</v>
      </c>
      <c r="Y35">
        <v>811</v>
      </c>
      <c r="Z35">
        <v>4</v>
      </c>
      <c r="AA35" s="4">
        <v>26</v>
      </c>
    </row>
    <row r="36" spans="1:27" x14ac:dyDescent="0.2">
      <c r="A36" s="11" t="s">
        <v>59</v>
      </c>
      <c r="B36" s="2" t="s">
        <v>77</v>
      </c>
      <c r="C36" s="40">
        <v>13309670614</v>
      </c>
      <c r="D36" s="3">
        <v>22</v>
      </c>
      <c r="E36">
        <v>1069</v>
      </c>
      <c r="F36">
        <v>200</v>
      </c>
      <c r="G36" s="4">
        <v>6</v>
      </c>
      <c r="H36" s="3">
        <v>3</v>
      </c>
      <c r="I36">
        <v>727</v>
      </c>
      <c r="J36">
        <v>119</v>
      </c>
      <c r="K36" s="4">
        <v>13</v>
      </c>
      <c r="L36" s="3">
        <v>2</v>
      </c>
      <c r="M36">
        <v>586</v>
      </c>
      <c r="N36">
        <v>73</v>
      </c>
      <c r="O36" s="4">
        <v>5</v>
      </c>
      <c r="P36" s="3">
        <v>7</v>
      </c>
      <c r="Q36">
        <v>615</v>
      </c>
      <c r="R36">
        <v>64</v>
      </c>
      <c r="S36" s="4">
        <v>5</v>
      </c>
      <c r="T36" s="3">
        <v>10</v>
      </c>
      <c r="U36">
        <v>564</v>
      </c>
      <c r="V36">
        <v>76</v>
      </c>
      <c r="W36" s="4">
        <v>6</v>
      </c>
      <c r="X36">
        <v>14</v>
      </c>
      <c r="Y36">
        <v>752</v>
      </c>
      <c r="Z36">
        <v>127</v>
      </c>
      <c r="AA36" s="4">
        <v>13</v>
      </c>
    </row>
    <row r="37" spans="1:27" x14ac:dyDescent="0.2">
      <c r="A37" s="11" t="s">
        <v>60</v>
      </c>
      <c r="B37" s="2" t="s">
        <v>88</v>
      </c>
      <c r="C37" s="40">
        <v>1642294332</v>
      </c>
      <c r="D37" s="3">
        <v>18</v>
      </c>
      <c r="E37">
        <v>512</v>
      </c>
      <c r="F37">
        <v>67</v>
      </c>
      <c r="G37" s="4">
        <v>700</v>
      </c>
      <c r="H37" s="3">
        <v>12</v>
      </c>
      <c r="I37">
        <v>384</v>
      </c>
      <c r="J37">
        <v>47</v>
      </c>
      <c r="K37" s="4">
        <v>419</v>
      </c>
      <c r="L37" s="3">
        <v>7</v>
      </c>
      <c r="M37">
        <v>312</v>
      </c>
      <c r="N37">
        <v>17</v>
      </c>
      <c r="O37" s="4">
        <v>330</v>
      </c>
      <c r="P37" s="3">
        <v>5</v>
      </c>
      <c r="Q37">
        <v>336</v>
      </c>
      <c r="R37">
        <v>25</v>
      </c>
      <c r="S37" s="4">
        <v>325</v>
      </c>
      <c r="T37" s="3">
        <v>5</v>
      </c>
      <c r="U37">
        <v>285</v>
      </c>
      <c r="V37">
        <v>38</v>
      </c>
      <c r="W37" s="4">
        <v>328</v>
      </c>
      <c r="X37">
        <v>16</v>
      </c>
      <c r="Y37">
        <v>402</v>
      </c>
      <c r="Z37">
        <v>44</v>
      </c>
      <c r="AA37" s="4">
        <v>444</v>
      </c>
    </row>
    <row r="38" spans="1:27" x14ac:dyDescent="0.2">
      <c r="A38" s="11" t="s">
        <v>61</v>
      </c>
      <c r="B38" s="2" t="s">
        <v>111</v>
      </c>
      <c r="C38" s="40">
        <v>2013487600</v>
      </c>
      <c r="D38" s="3">
        <v>81</v>
      </c>
      <c r="E38">
        <v>1184</v>
      </c>
      <c r="F38">
        <v>5</v>
      </c>
      <c r="G38" s="4">
        <v>27</v>
      </c>
      <c r="H38" s="3">
        <v>48</v>
      </c>
      <c r="I38">
        <v>776</v>
      </c>
      <c r="J38">
        <v>4</v>
      </c>
      <c r="K38" s="4">
        <v>34</v>
      </c>
      <c r="L38" s="3">
        <v>44</v>
      </c>
      <c r="M38">
        <v>601</v>
      </c>
      <c r="N38">
        <v>4</v>
      </c>
      <c r="O38" s="4">
        <v>17</v>
      </c>
      <c r="P38" s="3">
        <v>25</v>
      </c>
      <c r="Q38">
        <v>636</v>
      </c>
      <c r="R38">
        <v>9</v>
      </c>
      <c r="S38" s="4">
        <v>21</v>
      </c>
      <c r="T38" s="3">
        <v>33</v>
      </c>
      <c r="U38">
        <v>592</v>
      </c>
      <c r="V38">
        <v>11</v>
      </c>
      <c r="W38" s="4">
        <v>20</v>
      </c>
      <c r="X38">
        <v>68</v>
      </c>
      <c r="Y38">
        <v>793</v>
      </c>
      <c r="Z38">
        <v>5</v>
      </c>
      <c r="AA38" s="4">
        <v>40</v>
      </c>
    </row>
    <row r="39" spans="1:27" x14ac:dyDescent="0.2">
      <c r="A39" s="11" t="s">
        <v>62</v>
      </c>
      <c r="B39" s="2" t="s">
        <v>100</v>
      </c>
      <c r="C39" s="40">
        <v>1361185560</v>
      </c>
      <c r="D39" s="3">
        <v>38</v>
      </c>
      <c r="E39">
        <v>611</v>
      </c>
      <c r="F39">
        <v>29</v>
      </c>
      <c r="G39" s="4">
        <v>619</v>
      </c>
      <c r="H39" s="3">
        <v>15</v>
      </c>
      <c r="I39">
        <v>431</v>
      </c>
      <c r="J39">
        <v>27</v>
      </c>
      <c r="K39" s="4">
        <v>389</v>
      </c>
      <c r="L39" s="3">
        <v>11</v>
      </c>
      <c r="M39">
        <v>353</v>
      </c>
      <c r="N39">
        <v>18</v>
      </c>
      <c r="O39" s="4">
        <v>284</v>
      </c>
      <c r="P39" s="3">
        <v>16</v>
      </c>
      <c r="Q39">
        <v>355</v>
      </c>
      <c r="R39">
        <v>20</v>
      </c>
      <c r="S39" s="4">
        <v>300</v>
      </c>
      <c r="T39" s="3">
        <v>15</v>
      </c>
      <c r="U39">
        <v>317</v>
      </c>
      <c r="V39">
        <v>24</v>
      </c>
      <c r="W39" s="4">
        <v>300</v>
      </c>
      <c r="X39">
        <v>28</v>
      </c>
      <c r="Y39">
        <v>448</v>
      </c>
      <c r="Z39">
        <v>33</v>
      </c>
      <c r="AA39" s="4">
        <v>397</v>
      </c>
    </row>
    <row r="40" spans="1:27" x14ac:dyDescent="0.2">
      <c r="A40" s="11" t="s">
        <v>63</v>
      </c>
      <c r="B40" s="12" t="s">
        <v>98</v>
      </c>
      <c r="C40" s="40">
        <v>3116409200</v>
      </c>
      <c r="D40" s="3">
        <v>56</v>
      </c>
      <c r="E40">
        <v>1115</v>
      </c>
      <c r="F40">
        <v>101</v>
      </c>
      <c r="G40" s="4">
        <v>25</v>
      </c>
      <c r="H40" s="3">
        <v>33</v>
      </c>
      <c r="I40">
        <v>769</v>
      </c>
      <c r="J40">
        <v>46</v>
      </c>
      <c r="K40" s="4">
        <v>14</v>
      </c>
      <c r="L40" s="3">
        <v>12</v>
      </c>
      <c r="M40">
        <v>612</v>
      </c>
      <c r="N40">
        <v>29</v>
      </c>
      <c r="O40" s="4">
        <v>13</v>
      </c>
      <c r="P40" s="3">
        <v>6</v>
      </c>
      <c r="Q40">
        <v>644</v>
      </c>
      <c r="R40">
        <v>27</v>
      </c>
      <c r="S40" s="4">
        <v>14</v>
      </c>
      <c r="T40" s="3">
        <v>22</v>
      </c>
      <c r="U40">
        <v>571</v>
      </c>
      <c r="V40">
        <v>40</v>
      </c>
      <c r="W40" s="4">
        <v>23</v>
      </c>
      <c r="X40">
        <v>37</v>
      </c>
      <c r="Y40">
        <v>778</v>
      </c>
      <c r="Z40">
        <v>67</v>
      </c>
      <c r="AA40" s="4">
        <v>24</v>
      </c>
    </row>
    <row r="41" spans="1:27" x14ac:dyDescent="0.2">
      <c r="A41" s="11" t="s">
        <v>64</v>
      </c>
      <c r="B41" s="12" t="s">
        <v>105</v>
      </c>
      <c r="C41" s="40">
        <v>1325802800</v>
      </c>
      <c r="D41" s="3">
        <v>25</v>
      </c>
      <c r="E41">
        <v>1200</v>
      </c>
      <c r="F41">
        <v>4</v>
      </c>
      <c r="G41" s="4">
        <v>68</v>
      </c>
      <c r="H41" s="3">
        <v>17</v>
      </c>
      <c r="I41">
        <v>781</v>
      </c>
      <c r="J41">
        <v>5</v>
      </c>
      <c r="K41" s="4">
        <v>59</v>
      </c>
      <c r="L41" s="3">
        <v>77</v>
      </c>
      <c r="M41">
        <v>539</v>
      </c>
      <c r="N41">
        <v>5</v>
      </c>
      <c r="O41" s="4">
        <v>45</v>
      </c>
      <c r="P41" s="3">
        <v>146</v>
      </c>
      <c r="Q41">
        <v>493</v>
      </c>
      <c r="R41">
        <v>9</v>
      </c>
      <c r="S41" s="4">
        <v>43</v>
      </c>
      <c r="T41" s="3">
        <v>20</v>
      </c>
      <c r="U41">
        <v>575</v>
      </c>
      <c r="V41">
        <v>11</v>
      </c>
      <c r="W41" s="4">
        <v>50</v>
      </c>
      <c r="X41">
        <v>15</v>
      </c>
      <c r="Y41">
        <v>821</v>
      </c>
      <c r="Z41">
        <v>3</v>
      </c>
      <c r="AA41" s="4">
        <v>67</v>
      </c>
    </row>
    <row r="42" spans="1:27" x14ac:dyDescent="0.2">
      <c r="A42" s="11" t="s">
        <v>65</v>
      </c>
      <c r="B42" s="2" t="s">
        <v>95</v>
      </c>
      <c r="C42" s="40">
        <v>1252539582</v>
      </c>
      <c r="D42" s="3">
        <v>24</v>
      </c>
      <c r="E42">
        <v>720</v>
      </c>
      <c r="F42">
        <v>4</v>
      </c>
      <c r="G42" s="4">
        <v>549</v>
      </c>
      <c r="H42" s="3">
        <v>242</v>
      </c>
      <c r="I42">
        <v>249</v>
      </c>
      <c r="J42">
        <v>3</v>
      </c>
      <c r="K42" s="4">
        <v>368</v>
      </c>
      <c r="L42" s="3">
        <v>7</v>
      </c>
      <c r="M42">
        <v>323</v>
      </c>
      <c r="N42">
        <v>6</v>
      </c>
      <c r="O42" s="4">
        <v>330</v>
      </c>
      <c r="P42" s="3">
        <v>3</v>
      </c>
      <c r="Q42">
        <v>364</v>
      </c>
      <c r="R42">
        <v>10</v>
      </c>
      <c r="S42" s="4">
        <v>314</v>
      </c>
      <c r="T42" s="3">
        <v>23</v>
      </c>
      <c r="U42">
        <v>314</v>
      </c>
      <c r="V42">
        <v>10</v>
      </c>
      <c r="W42" s="4">
        <v>309</v>
      </c>
      <c r="X42">
        <v>14</v>
      </c>
      <c r="Y42">
        <v>474</v>
      </c>
      <c r="Z42">
        <v>4</v>
      </c>
      <c r="AA42" s="4">
        <v>414</v>
      </c>
    </row>
    <row r="43" spans="1:27" x14ac:dyDescent="0.2">
      <c r="A43" s="11" t="s">
        <v>66</v>
      </c>
      <c r="B43" s="12" t="s">
        <v>80</v>
      </c>
      <c r="C43" s="40">
        <v>3307090874</v>
      </c>
      <c r="D43" s="3">
        <v>71</v>
      </c>
      <c r="E43">
        <v>939</v>
      </c>
      <c r="F43">
        <v>45</v>
      </c>
      <c r="G43" s="4">
        <v>242</v>
      </c>
      <c r="H43" s="3">
        <v>24</v>
      </c>
      <c r="I43">
        <v>661</v>
      </c>
      <c r="J43">
        <v>24</v>
      </c>
      <c r="K43" s="4">
        <v>153</v>
      </c>
      <c r="L43" s="3">
        <v>13</v>
      </c>
      <c r="M43">
        <v>528</v>
      </c>
      <c r="N43">
        <v>17</v>
      </c>
      <c r="O43" s="4">
        <v>108</v>
      </c>
      <c r="P43" s="3">
        <v>18</v>
      </c>
      <c r="Q43">
        <v>556</v>
      </c>
      <c r="R43">
        <v>20</v>
      </c>
      <c r="S43" s="4">
        <v>97</v>
      </c>
      <c r="T43" s="3">
        <v>28</v>
      </c>
      <c r="U43">
        <v>483</v>
      </c>
      <c r="V43">
        <v>26</v>
      </c>
      <c r="W43" s="4">
        <v>119</v>
      </c>
      <c r="X43">
        <v>44</v>
      </c>
      <c r="Y43">
        <v>685</v>
      </c>
      <c r="Z43">
        <v>31</v>
      </c>
      <c r="AA43" s="4">
        <v>146</v>
      </c>
    </row>
    <row r="44" spans="1:27" x14ac:dyDescent="0.2">
      <c r="A44" s="14" t="s">
        <v>67</v>
      </c>
      <c r="B44" s="15" t="s">
        <v>101</v>
      </c>
      <c r="C44" s="41">
        <v>1533299112</v>
      </c>
      <c r="D44" s="5">
        <v>29</v>
      </c>
      <c r="E44" s="6">
        <v>397</v>
      </c>
      <c r="F44" s="6">
        <v>3</v>
      </c>
      <c r="G44" s="7">
        <v>868</v>
      </c>
      <c r="H44" s="5">
        <v>18</v>
      </c>
      <c r="I44" s="6">
        <v>295</v>
      </c>
      <c r="J44" s="6">
        <v>4</v>
      </c>
      <c r="K44" s="7">
        <v>545</v>
      </c>
      <c r="L44" s="5">
        <v>11</v>
      </c>
      <c r="M44" s="6">
        <v>205</v>
      </c>
      <c r="N44" s="6">
        <v>5</v>
      </c>
      <c r="O44" s="7">
        <v>445</v>
      </c>
      <c r="P44" s="5">
        <v>8</v>
      </c>
      <c r="Q44" s="6">
        <v>221</v>
      </c>
      <c r="R44" s="6">
        <v>9</v>
      </c>
      <c r="S44" s="7">
        <v>453</v>
      </c>
      <c r="T44" s="5">
        <v>12</v>
      </c>
      <c r="U44" s="6">
        <v>208</v>
      </c>
      <c r="V44" s="6">
        <v>10</v>
      </c>
      <c r="W44" s="7">
        <v>426</v>
      </c>
      <c r="X44" s="6">
        <v>15</v>
      </c>
      <c r="Y44" s="6">
        <v>303</v>
      </c>
      <c r="Z44" s="6">
        <v>5</v>
      </c>
      <c r="AA44" s="7">
        <v>583</v>
      </c>
    </row>
    <row r="46" spans="1:27" x14ac:dyDescent="0.2">
      <c r="B46" s="42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EF7D-8BA2-F141-A13C-9C60588C2C49}">
  <dimension ref="A1:AE12"/>
  <sheetViews>
    <sheetView workbookViewId="0">
      <selection activeCell="B1" sqref="B1"/>
    </sheetView>
  </sheetViews>
  <sheetFormatPr baseColWidth="10" defaultRowHeight="16" x14ac:dyDescent="0.2"/>
  <cols>
    <col min="5" max="6" width="11" customWidth="1"/>
  </cols>
  <sheetData>
    <row r="1" spans="1:31" x14ac:dyDescent="0.2">
      <c r="A1" s="8" t="s">
        <v>287</v>
      </c>
      <c r="B1" s="19" t="s">
        <v>1</v>
      </c>
      <c r="C1" s="9" t="s">
        <v>2</v>
      </c>
      <c r="D1" s="9" t="s">
        <v>3</v>
      </c>
      <c r="E1" s="10" t="s">
        <v>4</v>
      </c>
      <c r="F1" s="9" t="s">
        <v>272</v>
      </c>
      <c r="G1" s="19" t="s">
        <v>5</v>
      </c>
      <c r="H1" s="9" t="s">
        <v>6</v>
      </c>
      <c r="I1" s="9" t="s">
        <v>7</v>
      </c>
      <c r="J1" s="10" t="s">
        <v>8</v>
      </c>
      <c r="K1" s="9" t="s">
        <v>279</v>
      </c>
      <c r="L1" s="19" t="s">
        <v>9</v>
      </c>
      <c r="M1" s="9" t="s">
        <v>10</v>
      </c>
      <c r="N1" s="9" t="s">
        <v>11</v>
      </c>
      <c r="O1" s="10" t="s">
        <v>12</v>
      </c>
      <c r="P1" s="9" t="s">
        <v>281</v>
      </c>
      <c r="Q1" s="19" t="s">
        <v>13</v>
      </c>
      <c r="R1" s="9" t="s">
        <v>14</v>
      </c>
      <c r="S1" s="9" t="s">
        <v>15</v>
      </c>
      <c r="T1" s="10" t="s">
        <v>16</v>
      </c>
      <c r="U1" s="9" t="s">
        <v>282</v>
      </c>
      <c r="V1" s="19" t="s">
        <v>17</v>
      </c>
      <c r="W1" s="9" t="s">
        <v>18</v>
      </c>
      <c r="X1" s="9" t="s">
        <v>19</v>
      </c>
      <c r="Y1" s="10" t="s">
        <v>20</v>
      </c>
      <c r="Z1" s="9" t="s">
        <v>283</v>
      </c>
      <c r="AA1" s="19" t="s">
        <v>21</v>
      </c>
      <c r="AB1" s="9" t="s">
        <v>22</v>
      </c>
      <c r="AC1" s="9" t="s">
        <v>23</v>
      </c>
      <c r="AD1" s="10" t="s">
        <v>24</v>
      </c>
      <c r="AE1" s="30" t="s">
        <v>284</v>
      </c>
    </row>
    <row r="2" spans="1:31" x14ac:dyDescent="0.2">
      <c r="A2" s="11" t="s">
        <v>176</v>
      </c>
      <c r="B2" s="3">
        <v>0</v>
      </c>
      <c r="C2">
        <v>810</v>
      </c>
      <c r="D2">
        <v>3</v>
      </c>
      <c r="E2" s="4">
        <v>484</v>
      </c>
      <c r="F2">
        <f>B2/SUM(B2:D2)</f>
        <v>0</v>
      </c>
      <c r="G2" s="3">
        <v>3</v>
      </c>
      <c r="H2">
        <v>542</v>
      </c>
      <c r="I2">
        <v>2</v>
      </c>
      <c r="J2" s="4">
        <v>315</v>
      </c>
      <c r="K2">
        <f>G2/SUM(G2:I2)</f>
        <v>5.4844606946983544E-3</v>
      </c>
      <c r="L2" s="3">
        <v>435</v>
      </c>
      <c r="M2">
        <v>1</v>
      </c>
      <c r="N2">
        <v>5</v>
      </c>
      <c r="O2" s="4">
        <v>225</v>
      </c>
      <c r="P2">
        <f>L2/SUM(L2:N2)</f>
        <v>0.98639455782312924</v>
      </c>
      <c r="Q2" s="3">
        <v>3</v>
      </c>
      <c r="R2">
        <v>428</v>
      </c>
      <c r="S2">
        <v>5</v>
      </c>
      <c r="T2" s="4">
        <v>255</v>
      </c>
      <c r="U2">
        <f>Q2/SUM(Q2:S2)</f>
        <v>6.8807339449541288E-3</v>
      </c>
      <c r="V2" s="3">
        <v>0</v>
      </c>
      <c r="W2">
        <v>409</v>
      </c>
      <c r="X2">
        <v>8</v>
      </c>
      <c r="Y2" s="4">
        <v>239</v>
      </c>
      <c r="Z2">
        <f>V2/SUM(V2:X2)</f>
        <v>0</v>
      </c>
      <c r="AA2" s="3">
        <v>0</v>
      </c>
      <c r="AB2">
        <v>597</v>
      </c>
      <c r="AC2">
        <v>3</v>
      </c>
      <c r="AD2" s="4">
        <v>306</v>
      </c>
      <c r="AE2">
        <f>AA2/SUM(AA2:AC2)</f>
        <v>0</v>
      </c>
    </row>
    <row r="3" spans="1:31" x14ac:dyDescent="0.2">
      <c r="A3" s="11">
        <v>10</v>
      </c>
      <c r="B3" s="3">
        <v>11</v>
      </c>
      <c r="C3">
        <v>5</v>
      </c>
      <c r="D3">
        <v>813</v>
      </c>
      <c r="E3" s="4">
        <v>468</v>
      </c>
      <c r="F3">
        <f t="shared" ref="F3:F12" si="0">B3/SUM(B3:D3)</f>
        <v>1.3268998793727383E-2</v>
      </c>
      <c r="G3" s="3">
        <v>2</v>
      </c>
      <c r="H3">
        <v>553</v>
      </c>
      <c r="I3">
        <v>2</v>
      </c>
      <c r="J3" s="4">
        <v>305</v>
      </c>
      <c r="K3">
        <f t="shared" ref="K3:K12" si="1">G3/SUM(G3:I3)</f>
        <v>3.5906642728904849E-3</v>
      </c>
      <c r="L3" s="3">
        <v>1</v>
      </c>
      <c r="M3">
        <v>12</v>
      </c>
      <c r="N3">
        <v>437</v>
      </c>
      <c r="O3" s="4">
        <v>216</v>
      </c>
      <c r="P3">
        <f t="shared" ref="P3:P12" si="2">L3/SUM(L3:N3)</f>
        <v>2.2222222222222222E-3</v>
      </c>
      <c r="Q3" s="3">
        <v>1</v>
      </c>
      <c r="R3">
        <v>433</v>
      </c>
      <c r="S3">
        <v>7</v>
      </c>
      <c r="T3" s="4">
        <v>250</v>
      </c>
      <c r="U3">
        <f t="shared" ref="U3:U12" si="3">Q3/SUM(Q3:S3)</f>
        <v>2.2675736961451248E-3</v>
      </c>
      <c r="V3" s="3">
        <v>0</v>
      </c>
      <c r="W3">
        <v>410</v>
      </c>
      <c r="X3">
        <v>8</v>
      </c>
      <c r="Y3" s="4">
        <v>238</v>
      </c>
      <c r="Z3">
        <f t="shared" ref="Z3:Z12" si="4">V3/SUM(V3:X3)</f>
        <v>0</v>
      </c>
      <c r="AA3" s="3">
        <v>0</v>
      </c>
      <c r="AB3">
        <v>598</v>
      </c>
      <c r="AC3">
        <v>3</v>
      </c>
      <c r="AD3" s="4">
        <v>305</v>
      </c>
      <c r="AE3">
        <f t="shared" ref="AE3:AE12" si="5">AA3/SUM(AA3:AC3)</f>
        <v>0</v>
      </c>
    </row>
    <row r="4" spans="1:31" x14ac:dyDescent="0.2">
      <c r="A4" s="11">
        <v>20</v>
      </c>
      <c r="B4" s="3">
        <v>11</v>
      </c>
      <c r="C4">
        <v>5</v>
      </c>
      <c r="D4">
        <v>813</v>
      </c>
      <c r="E4" s="4">
        <v>468</v>
      </c>
      <c r="F4">
        <f t="shared" si="0"/>
        <v>1.3268998793727383E-2</v>
      </c>
      <c r="G4" s="3">
        <v>2</v>
      </c>
      <c r="H4">
        <v>553</v>
      </c>
      <c r="I4">
        <v>2</v>
      </c>
      <c r="J4" s="4">
        <v>305</v>
      </c>
      <c r="K4">
        <f t="shared" si="1"/>
        <v>3.5906642728904849E-3</v>
      </c>
      <c r="L4" s="3">
        <v>1</v>
      </c>
      <c r="M4">
        <v>12</v>
      </c>
      <c r="N4">
        <v>437</v>
      </c>
      <c r="O4" s="4">
        <v>216</v>
      </c>
      <c r="P4">
        <f t="shared" si="2"/>
        <v>2.2222222222222222E-3</v>
      </c>
      <c r="Q4" s="3">
        <v>1</v>
      </c>
      <c r="R4">
        <v>433</v>
      </c>
      <c r="S4">
        <v>7</v>
      </c>
      <c r="T4" s="4">
        <v>250</v>
      </c>
      <c r="U4">
        <f t="shared" si="3"/>
        <v>2.2675736961451248E-3</v>
      </c>
      <c r="V4" s="3">
        <v>0</v>
      </c>
      <c r="W4">
        <v>410</v>
      </c>
      <c r="X4">
        <v>8</v>
      </c>
      <c r="Y4" s="4">
        <v>238</v>
      </c>
      <c r="Z4">
        <f t="shared" si="4"/>
        <v>0</v>
      </c>
      <c r="AA4" s="3">
        <v>0</v>
      </c>
      <c r="AB4">
        <v>598</v>
      </c>
      <c r="AC4">
        <v>3</v>
      </c>
      <c r="AD4" s="4">
        <v>305</v>
      </c>
      <c r="AE4">
        <f t="shared" si="5"/>
        <v>0</v>
      </c>
    </row>
    <row r="5" spans="1:31" x14ac:dyDescent="0.2">
      <c r="A5" s="11">
        <v>30</v>
      </c>
      <c r="B5" s="3">
        <v>11</v>
      </c>
      <c r="C5">
        <v>5</v>
      </c>
      <c r="D5">
        <v>813</v>
      </c>
      <c r="E5" s="4">
        <v>468</v>
      </c>
      <c r="F5">
        <f t="shared" si="0"/>
        <v>1.3268998793727383E-2</v>
      </c>
      <c r="G5" s="3">
        <v>2</v>
      </c>
      <c r="H5">
        <v>553</v>
      </c>
      <c r="I5">
        <v>2</v>
      </c>
      <c r="J5" s="4">
        <v>305</v>
      </c>
      <c r="K5">
        <f t="shared" si="1"/>
        <v>3.5906642728904849E-3</v>
      </c>
      <c r="L5" s="3">
        <v>1</v>
      </c>
      <c r="M5">
        <v>12</v>
      </c>
      <c r="N5">
        <v>437</v>
      </c>
      <c r="O5" s="4">
        <v>216</v>
      </c>
      <c r="P5">
        <f t="shared" si="2"/>
        <v>2.2222222222222222E-3</v>
      </c>
      <c r="Q5" s="3">
        <v>1</v>
      </c>
      <c r="R5">
        <v>433</v>
      </c>
      <c r="S5">
        <v>7</v>
      </c>
      <c r="T5" s="4">
        <v>250</v>
      </c>
      <c r="U5">
        <f t="shared" si="3"/>
        <v>2.2675736961451248E-3</v>
      </c>
      <c r="V5" s="3">
        <v>0</v>
      </c>
      <c r="W5">
        <v>410</v>
      </c>
      <c r="X5">
        <v>8</v>
      </c>
      <c r="Y5" s="4">
        <v>238</v>
      </c>
      <c r="Z5">
        <f t="shared" si="4"/>
        <v>0</v>
      </c>
      <c r="AA5" s="3">
        <v>0</v>
      </c>
      <c r="AB5">
        <v>598</v>
      </c>
      <c r="AC5">
        <v>3</v>
      </c>
      <c r="AD5" s="4">
        <v>305</v>
      </c>
      <c r="AE5">
        <f t="shared" si="5"/>
        <v>0</v>
      </c>
    </row>
    <row r="6" spans="1:31" x14ac:dyDescent="0.2">
      <c r="A6" s="11">
        <v>40</v>
      </c>
      <c r="B6" s="3">
        <v>11</v>
      </c>
      <c r="C6">
        <v>5</v>
      </c>
      <c r="D6">
        <v>813</v>
      </c>
      <c r="E6" s="4">
        <v>468</v>
      </c>
      <c r="F6">
        <f t="shared" si="0"/>
        <v>1.3268998793727383E-2</v>
      </c>
      <c r="G6" s="3">
        <v>2</v>
      </c>
      <c r="H6">
        <v>553</v>
      </c>
      <c r="I6">
        <v>2</v>
      </c>
      <c r="J6" s="4">
        <v>305</v>
      </c>
      <c r="K6">
        <f t="shared" si="1"/>
        <v>3.5906642728904849E-3</v>
      </c>
      <c r="L6" s="3">
        <v>1</v>
      </c>
      <c r="M6">
        <v>12</v>
      </c>
      <c r="N6">
        <v>437</v>
      </c>
      <c r="O6" s="4">
        <v>216</v>
      </c>
      <c r="P6">
        <f t="shared" si="2"/>
        <v>2.2222222222222222E-3</v>
      </c>
      <c r="Q6" s="3">
        <v>1</v>
      </c>
      <c r="R6">
        <v>433</v>
      </c>
      <c r="S6">
        <v>7</v>
      </c>
      <c r="T6" s="4">
        <v>250</v>
      </c>
      <c r="U6">
        <f t="shared" si="3"/>
        <v>2.2675736961451248E-3</v>
      </c>
      <c r="V6" s="3">
        <v>0</v>
      </c>
      <c r="W6">
        <v>410</v>
      </c>
      <c r="X6">
        <v>8</v>
      </c>
      <c r="Y6" s="4">
        <v>238</v>
      </c>
      <c r="Z6">
        <f t="shared" si="4"/>
        <v>0</v>
      </c>
      <c r="AA6" s="3">
        <v>0</v>
      </c>
      <c r="AB6">
        <v>598</v>
      </c>
      <c r="AC6">
        <v>3</v>
      </c>
      <c r="AD6" s="4">
        <v>305</v>
      </c>
      <c r="AE6">
        <f t="shared" si="5"/>
        <v>0</v>
      </c>
    </row>
    <row r="7" spans="1:31" x14ac:dyDescent="0.2">
      <c r="A7" s="11">
        <v>50</v>
      </c>
      <c r="B7" s="3">
        <v>11</v>
      </c>
      <c r="C7">
        <v>5</v>
      </c>
      <c r="D7">
        <v>813</v>
      </c>
      <c r="E7" s="4">
        <v>468</v>
      </c>
      <c r="F7">
        <f t="shared" si="0"/>
        <v>1.3268998793727383E-2</v>
      </c>
      <c r="G7" s="3">
        <v>2</v>
      </c>
      <c r="H7">
        <v>553</v>
      </c>
      <c r="I7">
        <v>2</v>
      </c>
      <c r="J7" s="4">
        <v>305</v>
      </c>
      <c r="K7">
        <f t="shared" si="1"/>
        <v>3.5906642728904849E-3</v>
      </c>
      <c r="L7" s="3">
        <v>1</v>
      </c>
      <c r="M7">
        <v>12</v>
      </c>
      <c r="N7">
        <v>437</v>
      </c>
      <c r="O7" s="4">
        <v>216</v>
      </c>
      <c r="P7">
        <f t="shared" si="2"/>
        <v>2.2222222222222222E-3</v>
      </c>
      <c r="Q7" s="3">
        <v>1</v>
      </c>
      <c r="R7">
        <v>433</v>
      </c>
      <c r="S7">
        <v>7</v>
      </c>
      <c r="T7" s="4">
        <v>250</v>
      </c>
      <c r="U7">
        <f t="shared" si="3"/>
        <v>2.2675736961451248E-3</v>
      </c>
      <c r="V7" s="3">
        <v>0</v>
      </c>
      <c r="W7">
        <v>410</v>
      </c>
      <c r="X7">
        <v>8</v>
      </c>
      <c r="Y7" s="4">
        <v>238</v>
      </c>
      <c r="Z7">
        <f t="shared" si="4"/>
        <v>0</v>
      </c>
      <c r="AA7" s="3">
        <v>0</v>
      </c>
      <c r="AB7">
        <v>598</v>
      </c>
      <c r="AC7">
        <v>3</v>
      </c>
      <c r="AD7" s="4">
        <v>305</v>
      </c>
      <c r="AE7">
        <f t="shared" si="5"/>
        <v>0</v>
      </c>
    </row>
    <row r="8" spans="1:31" x14ac:dyDescent="0.2">
      <c r="A8" s="11">
        <v>60</v>
      </c>
      <c r="B8" s="3">
        <v>11</v>
      </c>
      <c r="C8">
        <v>5</v>
      </c>
      <c r="D8">
        <v>813</v>
      </c>
      <c r="E8" s="4">
        <v>468</v>
      </c>
      <c r="F8">
        <f t="shared" si="0"/>
        <v>1.3268998793727383E-2</v>
      </c>
      <c r="G8" s="3">
        <v>2</v>
      </c>
      <c r="H8">
        <v>553</v>
      </c>
      <c r="I8">
        <v>2</v>
      </c>
      <c r="J8" s="4">
        <v>305</v>
      </c>
      <c r="K8">
        <f t="shared" si="1"/>
        <v>3.5906642728904849E-3</v>
      </c>
      <c r="L8" s="3">
        <v>1</v>
      </c>
      <c r="M8">
        <v>12</v>
      </c>
      <c r="N8">
        <v>437</v>
      </c>
      <c r="O8" s="4">
        <v>216</v>
      </c>
      <c r="P8">
        <f t="shared" si="2"/>
        <v>2.2222222222222222E-3</v>
      </c>
      <c r="Q8" s="3">
        <v>1</v>
      </c>
      <c r="R8">
        <v>433</v>
      </c>
      <c r="S8">
        <v>7</v>
      </c>
      <c r="T8" s="4">
        <v>250</v>
      </c>
      <c r="U8">
        <f t="shared" si="3"/>
        <v>2.2675736961451248E-3</v>
      </c>
      <c r="V8" s="3">
        <v>0</v>
      </c>
      <c r="W8">
        <v>410</v>
      </c>
      <c r="X8">
        <v>8</v>
      </c>
      <c r="Y8" s="4">
        <v>238</v>
      </c>
      <c r="Z8">
        <f t="shared" si="4"/>
        <v>0</v>
      </c>
      <c r="AA8" s="3">
        <v>0</v>
      </c>
      <c r="AB8">
        <v>598</v>
      </c>
      <c r="AC8">
        <v>3</v>
      </c>
      <c r="AD8" s="4">
        <v>305</v>
      </c>
      <c r="AE8">
        <f t="shared" si="5"/>
        <v>0</v>
      </c>
    </row>
    <row r="9" spans="1:31" x14ac:dyDescent="0.2">
      <c r="A9" s="11">
        <v>70</v>
      </c>
      <c r="B9" s="3">
        <v>11</v>
      </c>
      <c r="C9">
        <v>5</v>
      </c>
      <c r="D9">
        <v>813</v>
      </c>
      <c r="E9" s="4">
        <v>468</v>
      </c>
      <c r="F9">
        <f t="shared" si="0"/>
        <v>1.3268998793727383E-2</v>
      </c>
      <c r="G9" s="3">
        <v>2</v>
      </c>
      <c r="H9">
        <v>553</v>
      </c>
      <c r="I9">
        <v>2</v>
      </c>
      <c r="J9" s="4">
        <v>305</v>
      </c>
      <c r="K9">
        <f t="shared" si="1"/>
        <v>3.5906642728904849E-3</v>
      </c>
      <c r="L9" s="3">
        <v>1</v>
      </c>
      <c r="M9">
        <v>12</v>
      </c>
      <c r="N9">
        <v>437</v>
      </c>
      <c r="O9" s="4">
        <v>216</v>
      </c>
      <c r="P9">
        <f t="shared" si="2"/>
        <v>2.2222222222222222E-3</v>
      </c>
      <c r="Q9" s="3">
        <v>1</v>
      </c>
      <c r="R9">
        <v>433</v>
      </c>
      <c r="S9">
        <v>7</v>
      </c>
      <c r="T9" s="4">
        <v>250</v>
      </c>
      <c r="U9">
        <f t="shared" si="3"/>
        <v>2.2675736961451248E-3</v>
      </c>
      <c r="V9" s="3">
        <v>0</v>
      </c>
      <c r="W9">
        <v>410</v>
      </c>
      <c r="X9">
        <v>8</v>
      </c>
      <c r="Y9" s="4">
        <v>238</v>
      </c>
      <c r="Z9">
        <f t="shared" si="4"/>
        <v>0</v>
      </c>
      <c r="AA9" s="3">
        <v>0</v>
      </c>
      <c r="AB9">
        <v>598</v>
      </c>
      <c r="AC9">
        <v>3</v>
      </c>
      <c r="AD9" s="4">
        <v>305</v>
      </c>
      <c r="AE9">
        <f t="shared" si="5"/>
        <v>0</v>
      </c>
    </row>
    <row r="10" spans="1:31" x14ac:dyDescent="0.2">
      <c r="A10" s="11">
        <v>80</v>
      </c>
      <c r="B10" s="3">
        <v>11</v>
      </c>
      <c r="C10">
        <v>5</v>
      </c>
      <c r="D10">
        <v>813</v>
      </c>
      <c r="E10" s="4">
        <v>468</v>
      </c>
      <c r="F10">
        <f t="shared" si="0"/>
        <v>1.3268998793727383E-2</v>
      </c>
      <c r="G10" s="3">
        <v>2</v>
      </c>
      <c r="H10">
        <v>553</v>
      </c>
      <c r="I10">
        <v>2</v>
      </c>
      <c r="J10" s="4">
        <v>305</v>
      </c>
      <c r="K10">
        <f t="shared" si="1"/>
        <v>3.5906642728904849E-3</v>
      </c>
      <c r="L10" s="3">
        <v>1</v>
      </c>
      <c r="M10">
        <v>12</v>
      </c>
      <c r="N10">
        <v>437</v>
      </c>
      <c r="O10" s="4">
        <v>216</v>
      </c>
      <c r="P10">
        <f t="shared" si="2"/>
        <v>2.2222222222222222E-3</v>
      </c>
      <c r="Q10" s="3">
        <v>1</v>
      </c>
      <c r="R10">
        <v>433</v>
      </c>
      <c r="S10">
        <v>7</v>
      </c>
      <c r="T10" s="4">
        <v>250</v>
      </c>
      <c r="U10">
        <f t="shared" si="3"/>
        <v>2.2675736961451248E-3</v>
      </c>
      <c r="V10" s="3">
        <v>0</v>
      </c>
      <c r="W10">
        <v>410</v>
      </c>
      <c r="X10">
        <v>8</v>
      </c>
      <c r="Y10" s="4">
        <v>238</v>
      </c>
      <c r="Z10">
        <f t="shared" si="4"/>
        <v>0</v>
      </c>
      <c r="AA10" s="3">
        <v>0</v>
      </c>
      <c r="AB10">
        <v>598</v>
      </c>
      <c r="AC10">
        <v>3</v>
      </c>
      <c r="AD10" s="4">
        <v>305</v>
      </c>
      <c r="AE10">
        <f t="shared" si="5"/>
        <v>0</v>
      </c>
    </row>
    <row r="11" spans="1:31" x14ac:dyDescent="0.2">
      <c r="A11" s="11">
        <v>90</v>
      </c>
      <c r="B11" s="3">
        <v>11</v>
      </c>
      <c r="C11">
        <v>5</v>
      </c>
      <c r="D11">
        <v>813</v>
      </c>
      <c r="E11" s="4">
        <v>468</v>
      </c>
      <c r="F11">
        <f t="shared" si="0"/>
        <v>1.3268998793727383E-2</v>
      </c>
      <c r="G11" s="3">
        <v>2</v>
      </c>
      <c r="H11">
        <v>553</v>
      </c>
      <c r="I11">
        <v>2</v>
      </c>
      <c r="J11" s="4">
        <v>305</v>
      </c>
      <c r="K11">
        <f t="shared" si="1"/>
        <v>3.5906642728904849E-3</v>
      </c>
      <c r="L11" s="3">
        <v>1</v>
      </c>
      <c r="M11">
        <v>12</v>
      </c>
      <c r="N11">
        <v>437</v>
      </c>
      <c r="O11" s="4">
        <v>216</v>
      </c>
      <c r="P11">
        <f t="shared" si="2"/>
        <v>2.2222222222222222E-3</v>
      </c>
      <c r="Q11" s="3">
        <v>1</v>
      </c>
      <c r="R11">
        <v>433</v>
      </c>
      <c r="S11">
        <v>7</v>
      </c>
      <c r="T11" s="4">
        <v>250</v>
      </c>
      <c r="U11">
        <f t="shared" si="3"/>
        <v>2.2675736961451248E-3</v>
      </c>
      <c r="V11" s="3">
        <v>0</v>
      </c>
      <c r="W11">
        <v>410</v>
      </c>
      <c r="X11">
        <v>8</v>
      </c>
      <c r="Y11" s="4">
        <v>238</v>
      </c>
      <c r="Z11">
        <f t="shared" si="4"/>
        <v>0</v>
      </c>
      <c r="AA11" s="3">
        <v>0</v>
      </c>
      <c r="AB11">
        <v>598</v>
      </c>
      <c r="AC11">
        <v>3</v>
      </c>
      <c r="AD11" s="4">
        <v>305</v>
      </c>
      <c r="AE11">
        <f t="shared" si="5"/>
        <v>0</v>
      </c>
    </row>
    <row r="12" spans="1:31" x14ac:dyDescent="0.2">
      <c r="A12" s="14" t="s">
        <v>215</v>
      </c>
      <c r="B12" s="5">
        <v>939</v>
      </c>
      <c r="C12" s="6">
        <v>1</v>
      </c>
      <c r="D12" s="6">
        <v>13</v>
      </c>
      <c r="E12" s="7">
        <v>344</v>
      </c>
      <c r="F12">
        <f t="shared" si="0"/>
        <v>0.98530954879328436</v>
      </c>
      <c r="G12" s="5">
        <v>0</v>
      </c>
      <c r="H12" s="6">
        <v>643</v>
      </c>
      <c r="I12" s="6">
        <v>4</v>
      </c>
      <c r="J12" s="7">
        <v>215</v>
      </c>
      <c r="K12">
        <f t="shared" si="1"/>
        <v>0</v>
      </c>
      <c r="L12" s="5">
        <v>0</v>
      </c>
      <c r="M12" s="6">
        <v>508</v>
      </c>
      <c r="N12" s="6">
        <v>7</v>
      </c>
      <c r="O12" s="7">
        <v>151</v>
      </c>
      <c r="P12">
        <f t="shared" si="2"/>
        <v>0</v>
      </c>
      <c r="Q12" s="5">
        <v>0</v>
      </c>
      <c r="R12" s="6">
        <v>517</v>
      </c>
      <c r="S12" s="6">
        <v>8</v>
      </c>
      <c r="T12" s="7">
        <v>166</v>
      </c>
      <c r="U12">
        <f t="shared" si="3"/>
        <v>0</v>
      </c>
      <c r="V12" s="5">
        <v>0</v>
      </c>
      <c r="W12" s="6">
        <v>471</v>
      </c>
      <c r="X12" s="6">
        <v>9</v>
      </c>
      <c r="Y12" s="7">
        <v>176</v>
      </c>
      <c r="Z12">
        <f t="shared" si="4"/>
        <v>0</v>
      </c>
      <c r="AA12" s="5">
        <v>0</v>
      </c>
      <c r="AB12" s="6">
        <v>690</v>
      </c>
      <c r="AC12" s="6">
        <v>3</v>
      </c>
      <c r="AD12" s="7">
        <v>213</v>
      </c>
      <c r="AE12">
        <f t="shared" si="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C4C4-9A3C-4D4C-AD38-233BA75108F4}">
  <dimension ref="A1:AA4"/>
  <sheetViews>
    <sheetView workbookViewId="0">
      <selection sqref="A1:AA4"/>
    </sheetView>
  </sheetViews>
  <sheetFormatPr baseColWidth="10" defaultRowHeight="16" x14ac:dyDescent="0.2"/>
  <cols>
    <col min="3" max="3" width="15.5" customWidth="1"/>
  </cols>
  <sheetData>
    <row r="1" spans="1:27" x14ac:dyDescent="0.2">
      <c r="A1" s="35" t="s">
        <v>0</v>
      </c>
      <c r="B1" s="32" t="s">
        <v>68</v>
      </c>
      <c r="C1" s="31" t="s">
        <v>167</v>
      </c>
      <c r="D1" s="31" t="s">
        <v>1</v>
      </c>
      <c r="E1" s="31" t="s">
        <v>2</v>
      </c>
      <c r="F1" s="31" t="s">
        <v>3</v>
      </c>
      <c r="G1" s="32" t="s">
        <v>4</v>
      </c>
      <c r="H1" s="31" t="s">
        <v>5</v>
      </c>
      <c r="I1" s="31" t="s">
        <v>6</v>
      </c>
      <c r="J1" s="31" t="s">
        <v>7</v>
      </c>
      <c r="K1" s="32" t="s">
        <v>8</v>
      </c>
      <c r="L1" s="31" t="s">
        <v>9</v>
      </c>
      <c r="M1" s="31" t="s">
        <v>10</v>
      </c>
      <c r="N1" s="31" t="s">
        <v>11</v>
      </c>
      <c r="O1" s="32" t="s">
        <v>12</v>
      </c>
      <c r="P1" s="31" t="s">
        <v>13</v>
      </c>
      <c r="Q1" s="31" t="s">
        <v>14</v>
      </c>
      <c r="R1" s="31" t="s">
        <v>15</v>
      </c>
      <c r="S1" s="32" t="s">
        <v>16</v>
      </c>
      <c r="T1" s="31" t="s">
        <v>17</v>
      </c>
      <c r="U1" s="31" t="s">
        <v>18</v>
      </c>
      <c r="V1" s="31" t="s">
        <v>19</v>
      </c>
      <c r="W1" s="32" t="s">
        <v>20</v>
      </c>
      <c r="X1" s="31" t="s">
        <v>21</v>
      </c>
      <c r="Y1" s="31" t="s">
        <v>22</v>
      </c>
      <c r="Z1" s="31" t="s">
        <v>23</v>
      </c>
      <c r="AA1" s="32" t="s">
        <v>24</v>
      </c>
    </row>
    <row r="2" spans="1:27" x14ac:dyDescent="0.2">
      <c r="A2" s="36" t="s">
        <v>293</v>
      </c>
      <c r="B2" s="33" t="s">
        <v>290</v>
      </c>
      <c r="C2" s="43">
        <v>20050368598</v>
      </c>
      <c r="D2" s="44">
        <v>0</v>
      </c>
      <c r="E2" s="44">
        <v>1</v>
      </c>
      <c r="F2" s="44">
        <v>0</v>
      </c>
      <c r="G2" s="34">
        <v>1296</v>
      </c>
      <c r="H2" s="44">
        <v>1</v>
      </c>
      <c r="I2" s="44">
        <v>2</v>
      </c>
      <c r="J2" s="44">
        <v>0</v>
      </c>
      <c r="K2" s="34">
        <v>859</v>
      </c>
      <c r="L2" s="44">
        <v>0</v>
      </c>
      <c r="M2" s="44">
        <v>0</v>
      </c>
      <c r="N2" s="44">
        <v>1</v>
      </c>
      <c r="O2" s="34">
        <v>665</v>
      </c>
      <c r="P2" s="44">
        <v>1</v>
      </c>
      <c r="Q2" s="44">
        <v>0</v>
      </c>
      <c r="R2" s="44">
        <v>0</v>
      </c>
      <c r="S2" s="34">
        <v>690</v>
      </c>
      <c r="T2" s="44">
        <v>1</v>
      </c>
      <c r="U2" s="44">
        <v>0</v>
      </c>
      <c r="V2" s="44">
        <v>0</v>
      </c>
      <c r="W2" s="34">
        <v>655</v>
      </c>
      <c r="X2" s="44">
        <v>0</v>
      </c>
      <c r="Y2" s="44">
        <v>0</v>
      </c>
      <c r="Z2" s="44">
        <v>0</v>
      </c>
      <c r="AA2" s="34">
        <v>906</v>
      </c>
    </row>
    <row r="3" spans="1:27" x14ac:dyDescent="0.2">
      <c r="A3" s="36" t="s">
        <v>294</v>
      </c>
      <c r="B3" s="33" t="s">
        <v>291</v>
      </c>
      <c r="C3" s="43">
        <v>21474599994</v>
      </c>
      <c r="D3" s="44">
        <v>0</v>
      </c>
      <c r="E3" s="44">
        <v>1</v>
      </c>
      <c r="F3" s="44">
        <v>0</v>
      </c>
      <c r="G3" s="34">
        <v>1296</v>
      </c>
      <c r="H3" s="44">
        <v>1</v>
      </c>
      <c r="I3" s="44">
        <v>1</v>
      </c>
      <c r="J3" s="44">
        <v>0</v>
      </c>
      <c r="K3" s="34">
        <v>860</v>
      </c>
      <c r="L3" s="44">
        <v>0</v>
      </c>
      <c r="M3" s="44">
        <v>0</v>
      </c>
      <c r="N3" s="44">
        <v>0</v>
      </c>
      <c r="O3" s="34">
        <v>666</v>
      </c>
      <c r="P3" s="44">
        <v>1</v>
      </c>
      <c r="Q3" s="44">
        <v>0</v>
      </c>
      <c r="R3" s="44">
        <v>0</v>
      </c>
      <c r="S3" s="34">
        <v>690</v>
      </c>
      <c r="T3" s="44">
        <v>1</v>
      </c>
      <c r="U3" s="44">
        <v>0</v>
      </c>
      <c r="V3" s="44">
        <v>0</v>
      </c>
      <c r="W3" s="34">
        <v>655</v>
      </c>
      <c r="X3" s="44">
        <v>0</v>
      </c>
      <c r="Y3" s="44">
        <v>0</v>
      </c>
      <c r="Z3" s="44">
        <v>0</v>
      </c>
      <c r="AA3" s="34">
        <v>906</v>
      </c>
    </row>
    <row r="4" spans="1:27" x14ac:dyDescent="0.2">
      <c r="A4" s="45" t="s">
        <v>292</v>
      </c>
      <c r="B4" s="46" t="s">
        <v>286</v>
      </c>
      <c r="C4" s="47">
        <v>2228850224</v>
      </c>
      <c r="D4" s="48">
        <v>0</v>
      </c>
      <c r="E4" s="48">
        <v>2</v>
      </c>
      <c r="F4" s="48">
        <v>0</v>
      </c>
      <c r="G4" s="49">
        <v>1295</v>
      </c>
      <c r="H4" s="48">
        <v>1</v>
      </c>
      <c r="I4" s="48">
        <v>0</v>
      </c>
      <c r="J4" s="48">
        <v>0</v>
      </c>
      <c r="K4" s="49">
        <v>861</v>
      </c>
      <c r="L4" s="48">
        <v>1</v>
      </c>
      <c r="M4" s="48">
        <v>0</v>
      </c>
      <c r="N4" s="48">
        <v>0</v>
      </c>
      <c r="O4" s="49">
        <v>665</v>
      </c>
      <c r="P4" s="48">
        <v>0</v>
      </c>
      <c r="Q4" s="48">
        <v>1</v>
      </c>
      <c r="R4" s="48">
        <v>0</v>
      </c>
      <c r="S4" s="49">
        <v>690</v>
      </c>
      <c r="T4" s="48">
        <v>1</v>
      </c>
      <c r="U4" s="48">
        <v>0</v>
      </c>
      <c r="V4" s="48">
        <v>0</v>
      </c>
      <c r="W4" s="49">
        <v>655</v>
      </c>
      <c r="X4" s="48">
        <v>0</v>
      </c>
      <c r="Y4" s="48">
        <v>0</v>
      </c>
      <c r="Z4" s="48">
        <v>0</v>
      </c>
      <c r="AA4" s="49">
        <v>906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17009a6-20de-461a-8894-0312a395cac9}" enabled="0" method="" siteId="{717009a6-20de-461a-8894-0312a395ca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S1. Original Lab Strains</vt:lpstr>
      <vt:lpstr>S2. Illumina WGS of Lab Strains</vt:lpstr>
      <vt:lpstr>S3. Different Technologies</vt:lpstr>
      <vt:lpstr>S4. Field Samples</vt:lpstr>
      <vt:lpstr>S5. Subsampling</vt:lpstr>
      <vt:lpstr>S6. Other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Ko, Katie</dc:creator>
  <cp:lastModifiedBy>Ko, Katie</cp:lastModifiedBy>
  <dcterms:created xsi:type="dcterms:W3CDTF">2026-03-25T02:53:03Z</dcterms:created>
  <dcterms:modified xsi:type="dcterms:W3CDTF">2026-07-15T01:12:40Z</dcterms:modified>
</cp:coreProperties>
</file>